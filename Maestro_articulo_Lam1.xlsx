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orpacerosarequipaperu.sharepoint.com/sites/PCP227/Shared Documents/General/1. PROGRAMACIÓN/SERIE Z215 - LAMINACIÓN 1/Programación/2026/02. Febrero/"/>
    </mc:Choice>
  </mc:AlternateContent>
  <xr:revisionPtr revIDLastSave="13" documentId="8_{7D210062-D254-44E4-B2C9-6E4BF4841835}" xr6:coauthVersionLast="47" xr6:coauthVersionMax="47" xr10:uidLastSave="{8A3F3C67-5956-4A90-8B81-83F5C59C674E}"/>
  <bookViews>
    <workbookView xWindow="-120" yWindow="-120" windowWidth="29040" windowHeight="15720" xr2:uid="{804C048F-A6C0-4344-83BD-99841C6D64AD}"/>
  </bookViews>
  <sheets>
    <sheet name="Reporte_Ordenado" sheetId="1" r:id="rId1"/>
  </sheets>
  <definedNames>
    <definedName name="_xlnm._FilterDatabase" localSheetId="0" hidden="1">Reporte_Ordenado!$A$1:$N$294</definedName>
    <definedName name="a">#REF!</definedName>
    <definedName name="asasa">#REF!</definedName>
    <definedName name="BuiltIn_AutoFilter___16">#REF!</definedName>
    <definedName name="BuiltIn_AutoFilter___16_1">#REF!</definedName>
    <definedName name="BuiltIn_AutoFilter___21">#REF!</definedName>
    <definedName name="BuiltIn_AutoFilter___21_1">#REF!</definedName>
    <definedName name="BuiltIn_AutoFilter___22">#REF!</definedName>
    <definedName name="BuiltIn_AutoFilter___22_1">#REF!</definedName>
    <definedName name="BuiltIn_AutoFilter___23">#REF!</definedName>
    <definedName name="BuiltIn_AutoFilter___23_1">#REF!</definedName>
    <definedName name="CNTTOM">#REF!</definedName>
    <definedName name="Excel_BuiltIn_Print_Area_1_1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">#REF!</definedName>
    <definedName name="Excel_BuiltIn_Print_Area_11_1_1_1_1">#REF!</definedName>
    <definedName name="Excel_BuiltIn_Print_Area_11_1_1_1_1_1">#REF!</definedName>
    <definedName name="Excel_BuiltIn_Print_Area_11_1_1_1_1_1_1">#REF!</definedName>
    <definedName name="Excel_BuiltIn_Print_Area_11_1_1_1_1_1_1_1">#REF!</definedName>
    <definedName name="Excel_BuiltIn_Print_Area_11_1_1_1_1_1_1_1_1">#REF!</definedName>
    <definedName name="Excel_BuiltIn_Print_Area_11_1_1_1_1_1_1_1_1_1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_1_1_1">#REF!</definedName>
    <definedName name="Excel_BuiltIn_Print_Area_9_1_1_1_1_1_1_1">#REF!</definedName>
    <definedName name="Excel_BuiltIn_Print_Area_9_1_1_1_1_1_1_1_1">#REF!</definedName>
    <definedName name="Excel_BuiltIn_Print_Area_9_1_1_1_1_1_1_1_1_1">#REF!</definedName>
    <definedName name="FAX">#REF!</definedName>
    <definedName name="fghf">#REF!</definedName>
    <definedName name="GGrupo_1">#REF!</definedName>
    <definedName name="GGrupo_10">#REF!</definedName>
    <definedName name="GGrupo_11">#REF!</definedName>
    <definedName name="GGrupo_12">#REF!</definedName>
    <definedName name="GGrupo_13">#REF!</definedName>
    <definedName name="GGrupo_14">#REF!</definedName>
    <definedName name="GGrupo_15">#REF!</definedName>
    <definedName name="GGrupo_16">#REF!</definedName>
    <definedName name="GGrupo_17">#REF!</definedName>
    <definedName name="GGrupo_18">#REF!</definedName>
    <definedName name="GGrupo_19">#REF!</definedName>
    <definedName name="GGrupo_2">#REF!</definedName>
    <definedName name="GGrupo_20">#REF!</definedName>
    <definedName name="GGrupo_21">#REF!</definedName>
    <definedName name="GGrupo_22">#REF!</definedName>
    <definedName name="GGrupo_23">#REF!</definedName>
    <definedName name="GGrupo_24">#REF!</definedName>
    <definedName name="GGrupo_25">#REF!</definedName>
    <definedName name="GGrupo_26">#REF!</definedName>
    <definedName name="GGrupo_27">#REF!</definedName>
    <definedName name="GGrupo_28">#REF!</definedName>
    <definedName name="GGrupo_29">#REF!</definedName>
    <definedName name="GGrupo_3">#REF!</definedName>
    <definedName name="GGrupo_30">#REF!</definedName>
    <definedName name="GGrupo_31">#REF!</definedName>
    <definedName name="GGrupo_4">#REF!</definedName>
    <definedName name="GGrupo_5">#REF!</definedName>
    <definedName name="GGrupo_6">#REF!</definedName>
    <definedName name="GGrupo_7">#REF!</definedName>
    <definedName name="GGrupo_8">#REF!</definedName>
    <definedName name="GGrupo_9">#REF!</definedName>
    <definedName name="Grupo_1">#REF!</definedName>
    <definedName name="Grupo_10">#REF!</definedName>
    <definedName name="Grupo_11">#REF!</definedName>
    <definedName name="Grupo_12">#REF!</definedName>
    <definedName name="Grupo_13">#REF!</definedName>
    <definedName name="Grupo_14">#REF!</definedName>
    <definedName name="Grupo_15">#REF!</definedName>
    <definedName name="Grupo_16">#REF!</definedName>
    <definedName name="Grupo_17">#REF!</definedName>
    <definedName name="Grupo_18">#REF!</definedName>
    <definedName name="Grupo_19">#REF!</definedName>
    <definedName name="Grupo_2">#REF!</definedName>
    <definedName name="Grupo_20">#REF!</definedName>
    <definedName name="Grupo_21">#REF!</definedName>
    <definedName name="Grupo_22">#REF!</definedName>
    <definedName name="Grupo_23">#REF!</definedName>
    <definedName name="Grupo_24">#REF!</definedName>
    <definedName name="Grupo_25">#REF!</definedName>
    <definedName name="Grupo_26">#REF!</definedName>
    <definedName name="Grupo_27">#REF!</definedName>
    <definedName name="Grupo_28">#REF!</definedName>
    <definedName name="Grupo_29">#REF!</definedName>
    <definedName name="Grupo_3">#REF!</definedName>
    <definedName name="Grupo_30">#REF!</definedName>
    <definedName name="Grupo_31">#REF!</definedName>
    <definedName name="Grupo_4">#REF!</definedName>
    <definedName name="Grupo_5">#REF!</definedName>
    <definedName name="Grupo_6">#REF!</definedName>
    <definedName name="Grupo_7">#REF!</definedName>
    <definedName name="Grupo_8">#REF!</definedName>
    <definedName name="Grupo_9">#REF!</definedName>
    <definedName name="GRUPOS">#REF!</definedName>
    <definedName name="hffh">#REF!</definedName>
    <definedName name="ORDEN">#REF!</definedName>
    <definedName name="OTRO">#REF!</definedName>
    <definedName name="PACC">#REF!</definedName>
    <definedName name="s">#REF!</definedName>
    <definedName name="UN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</calcChain>
</file>

<file path=xl/sharedStrings.xml><?xml version="1.0" encoding="utf-8"?>
<sst xmlns="http://schemas.openxmlformats.org/spreadsheetml/2006/main" count="1284" uniqueCount="427">
  <si>
    <t xml:space="preserve"> </t>
  </si>
  <si>
    <t>Por definir adelanto llegada PACC Importada</t>
  </si>
  <si>
    <t>a</t>
  </si>
  <si>
    <t>Correctivo</t>
  </si>
  <si>
    <t>e</t>
  </si>
  <si>
    <t>Mtto 16 hrs</t>
  </si>
  <si>
    <t>d</t>
  </si>
  <si>
    <t>Mtto 8 hrs</t>
  </si>
  <si>
    <t>c</t>
  </si>
  <si>
    <t>Mtto 6 hrs</t>
  </si>
  <si>
    <t>b</t>
  </si>
  <si>
    <t>Mtto 4 hrs</t>
  </si>
  <si>
    <t>Marcado Perfiles Importados Liquidación</t>
  </si>
  <si>
    <t>Cambio de Mesa Enfriamiento</t>
  </si>
  <si>
    <t>Nueva salida Tren 1</t>
  </si>
  <si>
    <t>Prueba de proceso</t>
  </si>
  <si>
    <t>Instalación de 2 nuevas cajas del tren</t>
  </si>
  <si>
    <t>PMO</t>
  </si>
  <si>
    <t>Corte energia 6am-6pm</t>
  </si>
  <si>
    <t>Sin Producción x Corte de energía</t>
  </si>
  <si>
    <t>Calentamiento del Horno</t>
  </si>
  <si>
    <t>Reparación del Horno</t>
  </si>
  <si>
    <t xml:space="preserve">Sin Producción </t>
  </si>
  <si>
    <t>Sin Producción x Esquema de Producción.</t>
  </si>
  <si>
    <t>Mtto Linea Gas</t>
  </si>
  <si>
    <t>PACC Anticuamiento 2470 kg/pacc (700 tm)</t>
  </si>
  <si>
    <t>1525/A 150 X 150 MM</t>
  </si>
  <si>
    <t>Por confirmar</t>
  </si>
  <si>
    <t>PCP1</t>
  </si>
  <si>
    <t>1020 B 130 X 130 MM</t>
  </si>
  <si>
    <t>Perfil pequeño x confirmar</t>
  </si>
  <si>
    <t>PCP</t>
  </si>
  <si>
    <t>Sin Producción de 20:00 hrs a 08 hrs</t>
  </si>
  <si>
    <t>Feriado</t>
  </si>
  <si>
    <t>z</t>
  </si>
  <si>
    <t>Sin Producción x Feriado</t>
  </si>
  <si>
    <t>Trefilado Pisco</t>
  </si>
  <si>
    <t>alamb. Trefileria</t>
  </si>
  <si>
    <t>10B06/B 160X160</t>
  </si>
  <si>
    <t>ALAM TREF SAE 10B06 8.0MM X RO</t>
  </si>
  <si>
    <t>Pedido Splitbolt / consume pacc corta</t>
  </si>
  <si>
    <t>1008 MESH/B 160 X 160</t>
  </si>
  <si>
    <t>ALAM TREF P/COMP 1008 BCC SK 8.00MM X RO</t>
  </si>
  <si>
    <t>Dovelas/ACEdim</t>
  </si>
  <si>
    <t>redo liso</t>
  </si>
  <si>
    <t>1530V/B 160 X 160MM</t>
  </si>
  <si>
    <t>BARRA LISA A615-G60 1.1/2" X 12M</t>
  </si>
  <si>
    <t>Prueba para exportación Ecuador</t>
  </si>
  <si>
    <t>1008 BCC SK EXP/B 160X160</t>
  </si>
  <si>
    <t>ALAM TREF 1008 BCC SK 5.50MM X RO</t>
  </si>
  <si>
    <t>10B06 EXP/B</t>
  </si>
  <si>
    <t>ALAM TREF SAE 10B06 5.5 MM X RO</t>
  </si>
  <si>
    <t>Pedido Indura (Chile)</t>
  </si>
  <si>
    <t>1008 BCC SK/B 160X160</t>
  </si>
  <si>
    <t>ALAM TREF SAE 1008 A0 5.50MM X RO</t>
  </si>
  <si>
    <t>SOLDEXA compactado</t>
  </si>
  <si>
    <t>Exportacion Ecuador (Producto en desarrollo)</t>
  </si>
  <si>
    <t>Pedido Comfer/40t al 2118</t>
  </si>
  <si>
    <t>Pedido Comfer</t>
  </si>
  <si>
    <t>1008 A1/B 160X160</t>
  </si>
  <si>
    <t>ALAM LIS 1008 A1 5.50MM X RO</t>
  </si>
  <si>
    <t xml:space="preserve">Para Amarre </t>
  </si>
  <si>
    <t>alamb. Liso</t>
  </si>
  <si>
    <t>ALAM LIS P/AMRR 1008 7.00MM X RO</t>
  </si>
  <si>
    <t>Para Amarre (barras cortas)</t>
  </si>
  <si>
    <t>1008AA/B 160X160</t>
  </si>
  <si>
    <t>Barras cortas Para Amarre (Anticuamiento)</t>
  </si>
  <si>
    <t>ALAM LIS P/AMRR 1008 5.50MM X RO</t>
  </si>
  <si>
    <t>Para Amarre</t>
  </si>
  <si>
    <t>Pedido Panamá</t>
  </si>
  <si>
    <t>alamb. Corrugado</t>
  </si>
  <si>
    <t>A706-2RO/B 160X160</t>
  </si>
  <si>
    <t>ALAM CORRUG A706 G60 W 5/8" X RO COMP</t>
  </si>
  <si>
    <t>A706-1/B 160X160</t>
  </si>
  <si>
    <t>ALAM CORRUG A706 G60 W 1/2" X RO COMP</t>
  </si>
  <si>
    <t>ALAM CORRUG A706 G60 W 3/8" RO COMP</t>
  </si>
  <si>
    <t>Por Enderezar Barra A36</t>
  </si>
  <si>
    <t>1012 MESH/B 160 X 160</t>
  </si>
  <si>
    <t>ALAM LIS P/E A36 12MM RO</t>
  </si>
  <si>
    <t>ALAM TREF 1008 10.0MM X RO</t>
  </si>
  <si>
    <t>ALAM LIS P/E A36 10MM RO</t>
  </si>
  <si>
    <t>ALAM TREF 1008 8.0MM X RO</t>
  </si>
  <si>
    <t>ALAM LIS P/E A36 8MM RO</t>
  </si>
  <si>
    <t>ALAM LIS P/E A36 6MM RO</t>
  </si>
  <si>
    <t>ALAM LIS P/E A36 5/8" RO</t>
  </si>
  <si>
    <t>Por Enderezar</t>
  </si>
  <si>
    <t>1045-2/B 160X160</t>
  </si>
  <si>
    <t>ALAM LIS P/E SAE 1045 1/2" RO</t>
  </si>
  <si>
    <t>ALAM LIS P/E A36 1/2" RO</t>
  </si>
  <si>
    <t>ALAM LIS P/E SAE 1045 3/8" RO</t>
  </si>
  <si>
    <t>ALAM LIS P/E A36 3/8" RO</t>
  </si>
  <si>
    <t>Pedido Molycop/Sección 180x180</t>
  </si>
  <si>
    <t>redo molinno</t>
  </si>
  <si>
    <t>1100-L4/C 180x180</t>
  </si>
  <si>
    <t>REDONDO LISO P/CORT 1100 88.9MM X 7M</t>
  </si>
  <si>
    <t>A</t>
  </si>
  <si>
    <t>Producto en desarrollo</t>
  </si>
  <si>
    <t>1100-J4/C 180x180</t>
  </si>
  <si>
    <t>REDONDO LISO P/CORT 1100 3.1/2" X 7M</t>
  </si>
  <si>
    <t>1070-CR/C 180x180 mm</t>
  </si>
  <si>
    <t>REDONDO LISO P/CORT 1070 CR 88.9MM X 7.00M</t>
  </si>
  <si>
    <t>Pedido Forestal Pico (Chile)</t>
  </si>
  <si>
    <t>FP350/C</t>
  </si>
  <si>
    <t>BARRA PARA BOLAS P/CORT FP350 3.5”x6M</t>
  </si>
  <si>
    <t>Pedido Volcan x cortar</t>
  </si>
  <si>
    <t>1098/C</t>
  </si>
  <si>
    <t>BARRA MINERA P/CORT 1098 3.1/2" X 7.3M</t>
  </si>
  <si>
    <t>BARRA MINERA P/CORT 1098 3.1/2" X 7.7M</t>
  </si>
  <si>
    <t>BARRA MINERA P/CORT 1098 3.1/2" X 8.3M</t>
  </si>
  <si>
    <t>BARRA MINERA P/CORT 1098 3.1/2" X 5.05M</t>
  </si>
  <si>
    <t>BARRA MINERA P/CORT 1098 3.1/2" X 3.8M</t>
  </si>
  <si>
    <t>BARRA MINERA P/CORT 1098 3.1/2" X 4.1M</t>
  </si>
  <si>
    <t>Pedido Shougang x cortar a 4.725m</t>
  </si>
  <si>
    <t>BARRA MINERA P/CORT 1098 3.1/2" X 4.725M</t>
  </si>
  <si>
    <t>1098/B</t>
  </si>
  <si>
    <t>Pedido Alpayana x cortar</t>
  </si>
  <si>
    <t>BARRA MINERA P/CORT 1098 3.1/2" X 7.1M</t>
  </si>
  <si>
    <t>Pedido Codelco-Chile x cortar</t>
  </si>
  <si>
    <t>BARRA MINERA P/CORT 1098-1 3.1/2"X10.7M</t>
  </si>
  <si>
    <t>1070-CR/B</t>
  </si>
  <si>
    <t>S650L/B</t>
  </si>
  <si>
    <t>REDONDO LISO P/CORT S650L 88.9MM X 7M</t>
  </si>
  <si>
    <t>Molycop | Longitud a 7m</t>
  </si>
  <si>
    <t>1100-L4/B</t>
  </si>
  <si>
    <t>1100-J4/B</t>
  </si>
  <si>
    <t>PACC Imp China 2065kg,</t>
  </si>
  <si>
    <t>1100/C 180X180</t>
  </si>
  <si>
    <t>REDONDO LISO P/CORT 1100 2.1/2" X 7M</t>
  </si>
  <si>
    <t>REDONDO LISO P/CORT 1100 2.1/8" X 6M</t>
  </si>
  <si>
    <t>REDONDO LISO P/CORT 1100 2" X 7M</t>
  </si>
  <si>
    <t>Prueba Molycop/Coladas definidas por Metalurgia</t>
  </si>
  <si>
    <t>1100-2/B 160X160</t>
  </si>
  <si>
    <t>1105-J3/B</t>
  </si>
  <si>
    <t>REDONDO LISO P/CORT 1105 80MM X 7M</t>
  </si>
  <si>
    <t>1105-J2/B</t>
  </si>
  <si>
    <t>REDONDO LISO P/CORT 1100 76.2MM X 7M</t>
  </si>
  <si>
    <t>Coladas alto Mn seleccionada por Metalurgia</t>
  </si>
  <si>
    <t>1100-L2/B</t>
  </si>
  <si>
    <t>REDONDO LISO P/CORT 1100-1.2CR 76.2MM X 7M</t>
  </si>
  <si>
    <t>Molycop | Venta Directa | 180x180mm</t>
  </si>
  <si>
    <t>1100 L3/C</t>
  </si>
  <si>
    <t>REDONDO LISO MOLI 1100 80.0MM X 7.00M</t>
  </si>
  <si>
    <t>Molycop | Sección 180x180mm</t>
  </si>
  <si>
    <t>REDONDO LISO P/CORT 1100 80MM X 7M</t>
  </si>
  <si>
    <t>Molycop | Venta Directa</t>
  </si>
  <si>
    <t>1100 L3/B</t>
  </si>
  <si>
    <t>REDONDO LISO MOLI 1100 76.2MM  X 7.00M</t>
  </si>
  <si>
    <t>Molycop | Acabados</t>
  </si>
  <si>
    <t>Magotteaux | Longitud a 6m</t>
  </si>
  <si>
    <t>MG330/B</t>
  </si>
  <si>
    <t>BARRA PARA BOLAS P/CORT MG330 76.2MMX6M</t>
  </si>
  <si>
    <t>BARRA MINERA P/CORT 1098 3" X 3.95M</t>
  </si>
  <si>
    <t>BARRA MINERA P/CORT 1098 3" X 7.6M</t>
  </si>
  <si>
    <t>BARRA MINERA P/CORT 1098 3" X 5.5M</t>
  </si>
  <si>
    <t>BARRA MINERA P/CORT 1098 3" X 8.3M</t>
  </si>
  <si>
    <t>BARRA MINERA P/CORT 1098 3" X 8.0M</t>
  </si>
  <si>
    <t>BARRA MINERA P/CORT 1098 3" X 7.7M</t>
  </si>
  <si>
    <t>BARRA MINERA P/CORT 1098 3" X 7.4M</t>
  </si>
  <si>
    <t>BARRA MINERA P/CORT 1098 3" X 7.1M</t>
  </si>
  <si>
    <t>BARRA MINERA P/CORT 1098 3" X 7.2M</t>
  </si>
  <si>
    <t>BARRA MINERA P/CORT 1098 3" X 3.8M</t>
  </si>
  <si>
    <t>251GH/B</t>
  </si>
  <si>
    <t>REDONDO LISO P/CORT 1100-2CR 65 MM X7M</t>
  </si>
  <si>
    <t>REDONDO LISO P/CORT 1100-1.2CR 65 MM X7M</t>
  </si>
  <si>
    <t>Prueba Molycop bajo Mn | Metalurgia B00020901</t>
  </si>
  <si>
    <t>RED LISO P/CORT 1105 0.4Mn0.75Cr 65MMX7M</t>
  </si>
  <si>
    <t>Prueba Molycop bajo Mn | Metalurgia B00020900</t>
  </si>
  <si>
    <t>RED LISO P/CORT 1105 0.4Mn0.85Cr 65MMX7M</t>
  </si>
  <si>
    <t xml:space="preserve">REDONDO LISO MOLI 1105 65 MM X 7.00M </t>
  </si>
  <si>
    <t>Liquidar pacc 180x180 3440kg</t>
  </si>
  <si>
    <t>1105-J2/C</t>
  </si>
  <si>
    <t>REDONDO LISO P/CORT 1105 65MM X 7M</t>
  </si>
  <si>
    <t>REDONDO LISO P/CORT 1100 65MM X 7M</t>
  </si>
  <si>
    <t>REDONDO LISO MOLI 1100 65.0MM X 7.00M</t>
  </si>
  <si>
    <t>1105-J1/B</t>
  </si>
  <si>
    <t>REDONDO LISO MOLI 1105 2" X 7.00M</t>
  </si>
  <si>
    <t>REDONDO LISO P/CORT 1105 2" X 7M</t>
  </si>
  <si>
    <t>1100-L1/B</t>
  </si>
  <si>
    <t>1095/B 160 X 160 MM</t>
  </si>
  <si>
    <t>REDONDO LISO MOLI 1095 1.1/2" X 7.00M</t>
  </si>
  <si>
    <t>REDONDO LISO P/CORT 1095 1 1/2" X 7.00M</t>
  </si>
  <si>
    <t>1090/B 160X160</t>
  </si>
  <si>
    <t>REDONDO LISO P/CORT 1090 1 1/2" X 7.00M</t>
  </si>
  <si>
    <t>desc</t>
  </si>
  <si>
    <t>REDONDO LISO P/CORT 1090 1 1/2" X 6.15M</t>
  </si>
  <si>
    <t>Pedido Aceros Chilca | Metalurgia</t>
  </si>
  <si>
    <t>1085-2/A 150 X 150 MM</t>
  </si>
  <si>
    <t>REDONDO LISO P/CORT 1085 1.3/8" X 6.00M</t>
  </si>
  <si>
    <t>Prueba Aceros Chilca</t>
  </si>
  <si>
    <t>1100 ACH/B</t>
  </si>
  <si>
    <t>REDONDO LISO P/CORT 1100 2.1/8" X 6M ACH</t>
  </si>
  <si>
    <t>Pedido Aceros Chilca</t>
  </si>
  <si>
    <t>1090 ACH/A 150 X 150 MM</t>
  </si>
  <si>
    <t>REDONDO LISO P/CORT 1090 1.1/2" X 6M ACH</t>
  </si>
  <si>
    <t>REDONDO LISO P/CORT 1085 1.1/2" X 6.00M</t>
  </si>
  <si>
    <t>REDONDO LISO P/CORT 1085 1.3/4" X 6.00M</t>
  </si>
  <si>
    <t>REDONDO LISO P/CORT 1085 2.1/8" X 6.00M</t>
  </si>
  <si>
    <t>REDONDO LISO P/CORT 1085 2.1/2" X 6.00M</t>
  </si>
  <si>
    <t>(*)</t>
  </si>
  <si>
    <t>1100-2/A IMP 150 X 150 MM</t>
  </si>
  <si>
    <t>x</t>
  </si>
  <si>
    <t>Prueba Molycop 160x160mm</t>
  </si>
  <si>
    <t>REDONDO LISO P/CORT 1095 2" X 7M</t>
  </si>
  <si>
    <t>por Pulir</t>
  </si>
  <si>
    <t>REDONDO P/P SAE 1045 2 1/2" X 6.0M</t>
  </si>
  <si>
    <t>1020 B2/B 160X160</t>
  </si>
  <si>
    <t>REDONDO P/P A36 2 1/2" X 6.0M</t>
  </si>
  <si>
    <t>REDONDO P/P SAE 1045 2 1/4" X 6.0M</t>
  </si>
  <si>
    <t>REDONDO P/P A36 2 1/4" X 6.0M</t>
  </si>
  <si>
    <t>REDONDO P/P SAE 1045 2" X 6.0M</t>
  </si>
  <si>
    <t>REDONDO P/P A36 2" X 6.0M</t>
  </si>
  <si>
    <t>REDONDO P/P SAE 1045 1 3/4" X 6.0M</t>
  </si>
  <si>
    <t>REDONDO P/P A36 1 3/4" X 6.0M</t>
  </si>
  <si>
    <t>REDONDO P/P SAE 1045 1 1/2" X 6.0M</t>
  </si>
  <si>
    <t>REDONDO P/P A36 1 1/2" X 6.0M</t>
  </si>
  <si>
    <t>Pedido Colombia</t>
  </si>
  <si>
    <t>REDONDO LISO A36 1.1/2" X 6M</t>
  </si>
  <si>
    <t>REDONDO P/P SAE 1045 1 3/8" X 6.0M</t>
  </si>
  <si>
    <t>REDONDO P/P A36 1 3/8" X 6.0M</t>
  </si>
  <si>
    <t>REDONDO P/P SAE 1045 1 1/4" X 6.0M</t>
  </si>
  <si>
    <t>REDONDO P/P A36 1 1/4" X 6.0M</t>
  </si>
  <si>
    <t>REDONDO P/P SAE 1045 1 1/8" X 6.0M</t>
  </si>
  <si>
    <t>REDONDO P/P A36 1 1/8" X 6.0M</t>
  </si>
  <si>
    <t>1045-2/A 150 X 150 MM ACOND</t>
  </si>
  <si>
    <t>por Pulir (liquidar pacc peso 2470)</t>
  </si>
  <si>
    <t>1020B2/A 150x150 MM</t>
  </si>
  <si>
    <t>1020 B1/A 150x150 MM</t>
  </si>
  <si>
    <t>Venta Nacional</t>
  </si>
  <si>
    <t>REDONDO LISO A36 2" X 12M</t>
  </si>
  <si>
    <t>EXP. Brasil | SOUTH SERVICE TRADING S.A-L3 | ROSADO</t>
  </si>
  <si>
    <t>NBR 7480-3/B 160X160</t>
  </si>
  <si>
    <t>ALAM CORRUG NBR7480 CA50S 10MM X RO COMP</t>
  </si>
  <si>
    <t>Pedido Brasil Compactado</t>
  </si>
  <si>
    <t>Certificación 6 coladas dif./metalugia</t>
  </si>
  <si>
    <t>NBR 7480-1/B 160X160</t>
  </si>
  <si>
    <t>ALAM CORRUG NBR7480 CA50S 8MM X RO COMP</t>
  </si>
  <si>
    <t>ALAM CORRUGADO NBR 7480-G50 8.00MM X RO</t>
  </si>
  <si>
    <t>Pedido Bolivia/Acedim</t>
  </si>
  <si>
    <t>NB 732-1/B 160X160</t>
  </si>
  <si>
    <t>ALAM NB 732 - 500 12.00MM X RO</t>
  </si>
  <si>
    <t>ALAM NB 732 - 500 10.00MM X RO</t>
  </si>
  <si>
    <t>ALAM NB 732 - 500 8.00MM X RO</t>
  </si>
  <si>
    <t>Por Enderezar (Anticuamiento)</t>
  </si>
  <si>
    <t>Certificación 6 coladas dif./metalugia define coladas</t>
  </si>
  <si>
    <t>ALAM CORRUG NBR 7480-G50 6.3MM X RO</t>
  </si>
  <si>
    <t>Por Enderezar Bolivia</t>
  </si>
  <si>
    <t>A706/B 160X160</t>
  </si>
  <si>
    <t>ALAM CORRUG A615/A706 G60 SW 6MM X RO</t>
  </si>
  <si>
    <t>ALAM NB 732 - 500 6.00MM X RO</t>
  </si>
  <si>
    <t>NBR 7480-3/A 150 X 150 MM</t>
  </si>
  <si>
    <t>Certificación 3 coladas dif./metalugia</t>
  </si>
  <si>
    <t>NBR 7480-1/A 150 X 150 MM</t>
  </si>
  <si>
    <t>NB 732-3/A 150 X 150 MM</t>
  </si>
  <si>
    <t>NB 732-1/A 150 X 150 MM</t>
  </si>
  <si>
    <t>Certificación 4 coladas dif./metalugia define coladas</t>
  </si>
  <si>
    <t>Liquidar 40t pacc 150x150</t>
  </si>
  <si>
    <t>Pedido Splitbolt Lima</t>
  </si>
  <si>
    <t>1008 BCC SK 150x150MM</t>
  </si>
  <si>
    <t>Pedido</t>
  </si>
  <si>
    <t>ALAM TREF 1008 C 7.0 MM X RO</t>
  </si>
  <si>
    <t>Exportación Ecuador Ideal Alambrec</t>
  </si>
  <si>
    <t>ALAM TREF SAE 1008 7.0 MM X RO - EXP</t>
  </si>
  <si>
    <t>ALAM TREF SAE 1008 5.50MM X RO - EXP</t>
  </si>
  <si>
    <t>Exportación Puerto Rico/Caribean steel/En Desarrollo</t>
  </si>
  <si>
    <t>ALAM TREF SAE 1008 BCC 6.50MM X RO</t>
  </si>
  <si>
    <t>Para laminado en frio 4.7mm</t>
  </si>
  <si>
    <t>ALAM TREF 1008 C 6.50MM X RO</t>
  </si>
  <si>
    <t>1008 C/B 160 X 160</t>
  </si>
  <si>
    <t>Para trefilado Pisco</t>
  </si>
  <si>
    <t>1008 C/A 150 X 150 MM</t>
  </si>
  <si>
    <t>Prueba (1008 MESH)</t>
  </si>
  <si>
    <t>ALAM TREF 1008 BCC 6.00MM X RO</t>
  </si>
  <si>
    <t>m</t>
  </si>
  <si>
    <t>Comfer 350t 2111/Trefilado Pisco 2118 350t</t>
  </si>
  <si>
    <t>Para 4.7mm</t>
  </si>
  <si>
    <t>ALAM TREF 1008 6.00MM X RO</t>
  </si>
  <si>
    <t>ALAM TREF SAE 10B06 6.0 MM X RO</t>
  </si>
  <si>
    <t>Prueba para resortes/Metalurgia</t>
  </si>
  <si>
    <t>1070R/B</t>
  </si>
  <si>
    <t>ALAM TREF SAE 1070 5.5 MM X RO</t>
  </si>
  <si>
    <t>Pedido Paraiso/Desarrollo Metalurgia</t>
  </si>
  <si>
    <t>1065R/B</t>
  </si>
  <si>
    <t>ALAM TREF 1065 5.50MM X ROLLO</t>
  </si>
  <si>
    <t>1006/A 150x150mm</t>
  </si>
  <si>
    <t>ALAM TREF 1006 5.5 MM X RO</t>
  </si>
  <si>
    <t>ALAM TREF 1008 5.50MM X RO</t>
  </si>
  <si>
    <t>s</t>
  </si>
  <si>
    <t>ALAM TREF SAE 1008 BCC SK 5.5 MM X RO</t>
  </si>
  <si>
    <t>10B06/A 150x150mm</t>
  </si>
  <si>
    <t>1008 A2/A 150 X 150 MM</t>
  </si>
  <si>
    <t>ALAM LIS 1008 A2 5.50MM X RO</t>
  </si>
  <si>
    <t>Para Amarre (cargar 2 barras 10B06/A)</t>
  </si>
  <si>
    <t>1008AA/A 150 X 150 MM</t>
  </si>
  <si>
    <t>EXP. Canada | LMS-L | 0| +5%</t>
  </si>
  <si>
    <t>ALAM CORRUG CSA G30.18 400W 15M (16mm) X RO</t>
  </si>
  <si>
    <t>ALAM CORRUG CSA G30.18 400W 10M (11.3mm) X RO</t>
  </si>
  <si>
    <t>A706-2RO/A 150 X 150MM</t>
  </si>
  <si>
    <t>A706-1/A 150 X 150MM</t>
  </si>
  <si>
    <t>ALAM CORRUG A706 G60-NTC 2289 5/8"</t>
  </si>
  <si>
    <t>Pedido Colombia x enderezar</t>
  </si>
  <si>
    <t>ALAM CORRUG A706 G60-NTC 2289 1/2" X RO</t>
  </si>
  <si>
    <t>ALAM CORRUG A706 G60-NTC 2289 12MM x RO</t>
  </si>
  <si>
    <t>ALAM CORRUG A706 G60-NTC 2289 11MM x RO</t>
  </si>
  <si>
    <t>ALAM CORRUG A706 G60-NTC 2289 9mm X RO</t>
  </si>
  <si>
    <t>Pedido Puerto Rico/Caribean steel</t>
  </si>
  <si>
    <t>ALAM TREF 1008 9.0MM X RO</t>
  </si>
  <si>
    <t>ALAM CORRUG A706 G60-NTC 2289 3/8" X RO</t>
  </si>
  <si>
    <t>ALAM CORRUG A706 G60-NTC 2289 8.5MM x RO</t>
  </si>
  <si>
    <t>ALAM CORRUG A706 G60-NTC 2289 8.0MM x RO</t>
  </si>
  <si>
    <t>ALAM CORRUG A706 G60-NTC 2289 6MM X RO</t>
  </si>
  <si>
    <t>ALAM CORRUG A706 G60-NTC 2289 1/4" X RO</t>
  </si>
  <si>
    <t>A706/A 150 X 150MM</t>
  </si>
  <si>
    <t>Pedido ERSI</t>
  </si>
  <si>
    <t>ALAM CORRUG A615/A706 G60 5/8" X RO COMP</t>
  </si>
  <si>
    <t>Prueba (rollo soldable)</t>
  </si>
  <si>
    <t>A706-2RO EXP/B</t>
  </si>
  <si>
    <t>ALAM CORRUG A615/A706 G60 5/8" RO</t>
  </si>
  <si>
    <t>Prueba</t>
  </si>
  <si>
    <t xml:space="preserve">NCh3334-A630S-A/B </t>
  </si>
  <si>
    <t>ALAM CORRUG A615/A706 G60 3/4" RO</t>
  </si>
  <si>
    <t>ACEDIM (Anticuamiento)</t>
  </si>
  <si>
    <t>ACEDIM</t>
  </si>
  <si>
    <t>1535-5/8RO/B 160 X 160MM</t>
  </si>
  <si>
    <t>ALAM CORRUG A615 G60 5/8" RO</t>
  </si>
  <si>
    <t>Compactado</t>
  </si>
  <si>
    <t>ALAM CORRUG A615 G60 5/8" X RO COMP</t>
  </si>
  <si>
    <t>Por reempaquetar - Beton Decken</t>
  </si>
  <si>
    <t>ALAM CORRUG A615/A706 G60 1/2" X RO COMP</t>
  </si>
  <si>
    <t>ALAM CORRUG A615/A706 G60 1/2" RO</t>
  </si>
  <si>
    <t>ALAM CORRUG A615/A706 G60 12MM RO</t>
  </si>
  <si>
    <t>ALAM CORRUG A615/A706 G60 3/8" RO COMP</t>
  </si>
  <si>
    <t>A706-1RO EXP/B</t>
  </si>
  <si>
    <t>ALAM CORRUG A615/A706 G60 3/8" RO</t>
  </si>
  <si>
    <t>Por Enderezar Baco binorma</t>
  </si>
  <si>
    <t xml:space="preserve">e </t>
  </si>
  <si>
    <t>ALAM CORRUG A615/A706 G60 8MM X RO COMP</t>
  </si>
  <si>
    <t>Enderezado (Liquidar pacc binorma)</t>
  </si>
  <si>
    <t>ALAM CORRUG A615/A706 G60 8.00MM X RO</t>
  </si>
  <si>
    <t>Pruebas de alambrón para Streching</t>
  </si>
  <si>
    <t xml:space="preserve"> A615/706 CS/B</t>
  </si>
  <si>
    <t>ALAM CORRUG A615/A706 G60 CS 8.00MM X RO</t>
  </si>
  <si>
    <t>Enderezado de alambrón | Nacional</t>
  </si>
  <si>
    <t>ALAM CORRUG A615/A706 G60 6.00MM X RO</t>
  </si>
  <si>
    <t>ALAM CORRUG A615/A706 G60 CS 6.00MM X RO</t>
  </si>
  <si>
    <t>1525/B 160X160</t>
  </si>
  <si>
    <t>ALAM CORRUG A615 G60 6.00MM X RO.</t>
  </si>
  <si>
    <t>ALAM CORRUG A615 G60 6MM X RO COMP</t>
  </si>
  <si>
    <t>Pedido Nacional</t>
  </si>
  <si>
    <t>ALAM CORRUG A706 G60 5/8" X RO COMP</t>
  </si>
  <si>
    <t>ALAM CORRUGADO A706 G60 5/8" RO</t>
  </si>
  <si>
    <t>Enderezado para Bolivia</t>
  </si>
  <si>
    <t>ALAM CORRUG A615/A706 G60 SW 8MM X RO</t>
  </si>
  <si>
    <t>Pedido Ecuador/ por enderezar</t>
  </si>
  <si>
    <t>ALAM CORRUG NTE2167-G42 8MM RO</t>
  </si>
  <si>
    <t>Pedido Nacional Logo FM</t>
  </si>
  <si>
    <t>1525-1/B 160 X 160 MM</t>
  </si>
  <si>
    <t>ALAM CORRUG A615 G60 8MM X RO COMP - FM</t>
  </si>
  <si>
    <t>ALAM CORRUG A706 G60 6MM RO COMP</t>
  </si>
  <si>
    <t>ALAM CORRUGADO A706 G60 6MM RO</t>
  </si>
  <si>
    <t>Pedido 200t 2111/saldo para Acedim</t>
  </si>
  <si>
    <t>2112 100 tm/300t Acedim</t>
  </si>
  <si>
    <t>ALAM CORRUG A706 G60 1/2" X RO COMP</t>
  </si>
  <si>
    <t>Pedido 2111 50t/ Saldo Acedim</t>
  </si>
  <si>
    <t>ALAM CORRUG A706 G60 3/8" RO COMP</t>
  </si>
  <si>
    <t>Venta directa 2111</t>
  </si>
  <si>
    <t>ALAM CORRUG A706 G60 8MM RO COMP</t>
  </si>
  <si>
    <t>EXP. Chile | FULLACERO LTDA | VALPARAISO | +5% | VERDE LIMÓN</t>
  </si>
  <si>
    <t>1535-5/8RO/B 160X160</t>
  </si>
  <si>
    <t>ALAM CORRUG NCh204 A630-420H AAC 16MMXRO</t>
  </si>
  <si>
    <t>EXP. Chile | DSC SPA | VALPARAISO | +5% | VERDE LIMÓN</t>
  </si>
  <si>
    <t>1535-1/2RO/B 160X160</t>
  </si>
  <si>
    <t>ALAM CORRUG NCh204 A630-420H AAC 12MMXRO</t>
  </si>
  <si>
    <t>EXP. Chile | FULLACERO LTDA | VALPARAISO | +5% | MORADO</t>
  </si>
  <si>
    <t>EXP. Chile | FULLACERO LTDA | VALPARAISO | +5% | AMARILLO</t>
  </si>
  <si>
    <t>ALAM NCh3334 A630-420HS 16MM X RO</t>
  </si>
  <si>
    <t>ALAM NCh3334 A630-420HS 12MM X RO</t>
  </si>
  <si>
    <t>EXP. Chile | FULLACERO LTDA | VALPARAISO | +5% | CELESTE</t>
  </si>
  <si>
    <t>ALAM NCh3334 A630-420HS 10MM X RO</t>
  </si>
  <si>
    <t>ALAM NCh3334 A630-420HS 8MM X RO</t>
  </si>
  <si>
    <t>EXP. Chile | DSC SPA | VALPARAISO | +5% | MARRON</t>
  </si>
  <si>
    <t>Acedim</t>
  </si>
  <si>
    <t>ALAM CORRUG A615 G60 12MM RO</t>
  </si>
  <si>
    <t>ALAM CORRUG A615 G60 12MM X RO COMP</t>
  </si>
  <si>
    <t>ALAM CORRUG NCh204 A630-420H AAC 10MM</t>
  </si>
  <si>
    <t>EXP. Chile | DSC SPA | VALPARAISO | +5% | MORADO</t>
  </si>
  <si>
    <t>1525-1/B 160X160</t>
  </si>
  <si>
    <t>ALAM CORRUG A615 G60 8MM X RO COMP</t>
  </si>
  <si>
    <t>Prueba con QTB</t>
  </si>
  <si>
    <t>A615 G60 QTB/B 160X160</t>
  </si>
  <si>
    <t>ALAM CORRUG A615 G60 8.00MM X RO</t>
  </si>
  <si>
    <t>q</t>
  </si>
  <si>
    <t>Por enderezar - Logo FM</t>
  </si>
  <si>
    <t>ALAM CORRUG A615 G60 8.00MM X RO - FM</t>
  </si>
  <si>
    <t>ALAM CORRUG NCh204 A630-420H AAC 8MMXRO</t>
  </si>
  <si>
    <t>EXP. Chile | DSC SPA | VALPARAISO | +5% | AZUL</t>
  </si>
  <si>
    <t>ALAM CORRUG NBR7480 CA50S 6.3MM X RO COMP</t>
  </si>
  <si>
    <t>EXP. Brasil | SOUTH SERVICE TRADING S.A-L2 | MARRÓN</t>
  </si>
  <si>
    <t>ACEDIM A615</t>
  </si>
  <si>
    <t>ALAM CORRUG A615 G60 1/2" RO</t>
  </si>
  <si>
    <t>ALAM CORRUG A615 G60 1/2" X RO COMP</t>
  </si>
  <si>
    <t>1535-2RO/A 150 X 150MM</t>
  </si>
  <si>
    <t>PACC imp Turca /ACEDIM</t>
  </si>
  <si>
    <t>1535-1/2/A IMP 150X150MM</t>
  </si>
  <si>
    <t>T</t>
  </si>
  <si>
    <t>1535-2RO-NB/A 150 X 150MM</t>
  </si>
  <si>
    <t>nb</t>
  </si>
  <si>
    <t>Enderezado para baco</t>
  </si>
  <si>
    <t>ALAM CORRUG A615 G60 3/8" RO</t>
  </si>
  <si>
    <t>ALAM CORRUG A615 G60 3/8" X RO COMP</t>
  </si>
  <si>
    <t>50t al 2111/ 50t 2118  Por reempaquetar - Beton Decken</t>
  </si>
  <si>
    <t>Pedido Bolivia/Enderezado</t>
  </si>
  <si>
    <t>1020 A/A 150 X 150 MM</t>
  </si>
  <si>
    <t>3000059</t>
  </si>
  <si>
    <t>Comentarios</t>
  </si>
  <si>
    <t>Calidad Palanquilla</t>
  </si>
  <si>
    <t>ID Tabla Cambio Medida</t>
  </si>
  <si>
    <t>SKU Laminación</t>
  </si>
  <si>
    <t>Ending</t>
  </si>
  <si>
    <t>Código Programación</t>
  </si>
  <si>
    <t>Descripción</t>
  </si>
  <si>
    <t>SKU Palanquilla</t>
  </si>
  <si>
    <t>Ritmo T/H</t>
  </si>
  <si>
    <t>Rendimiento Metálico %</t>
  </si>
  <si>
    <t>Fam.</t>
  </si>
  <si>
    <t>Acierto y Calibración</t>
  </si>
  <si>
    <t>Peso Palanquilla (kg)</t>
  </si>
  <si>
    <t>Almacén 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</si>
</sst>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family val="2"/>
    </font>
    <font>
      <sz val="11"/>
      <name val="Aptos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sz val="11"/>
      <color rgb="FF242424"/>
      <name val="Calibri"/>
      <family val="2"/>
    </font>
    <font>
      <sz val="12"/>
      <name val="Aptos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10.5"/>
      <color rgb="FF242424"/>
      <name val="Segoe UI"/>
      <family val="2"/>
    </font>
    <font>
      <sz val="10"/>
      <color rgb="FF000000"/>
      <name val="Aptos"/>
      <family val="2"/>
    </font>
    <font>
      <i/>
      <sz val="12"/>
      <color rgb="FF000000"/>
      <name val="Aptos"/>
      <family val="2"/>
    </font>
    <font>
      <sz val="9"/>
      <color indexed="8"/>
      <name val="Arial"/>
      <family val="2"/>
    </font>
    <font>
      <b/>
      <i/>
      <sz val="10"/>
      <name val="Arial"/>
      <family val="2"/>
    </font>
    <font>
      <b/>
      <sz val="11"/>
      <color indexed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546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0" borderId="0" xfId="0" applyFont="1"/>
    <xf numFmtId="0" fontId="0" fillId="2" borderId="0" xfId="0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8" fillId="0" borderId="0" xfId="0" applyFont="1"/>
    <xf numFmtId="0" fontId="2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3" borderId="0" xfId="0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0" fontId="6" fillId="0" borderId="0" xfId="0" applyFont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9BA-CFB6-4510-AF5E-F7F2DFA55998}">
  <dimension ref="A1:N332"/>
  <sheetViews>
    <sheetView tabSelected="1" workbookViewId="0">
      <selection sqref="A1:N1"/>
    </sheetView>
  </sheetViews>
  <sheetFormatPr baseColWidth="10" defaultRowHeight="12.75" x14ac:dyDescent="0.2"/>
  <cols>
    <col min="1" max="1" width="11.28515625" style="2" customWidth="1"/>
    <col min="2" max="2" width="8" style="2" customWidth="1"/>
    <col min="3" max="3" width="10.28515625" style="2" customWidth="1"/>
    <col min="4" max="4" width="55.28515625" style="3" bestFit="1" customWidth="1"/>
    <col min="5" max="5" width="11.28515625" style="2" customWidth="1"/>
    <col min="6" max="6" width="28.140625" style="3" bestFit="1" customWidth="1"/>
    <col min="7" max="9" width="11.28515625" style="2" customWidth="1"/>
    <col min="10" max="10" width="9.28515625" style="2" customWidth="1"/>
    <col min="11" max="11" width="10.85546875" style="2" customWidth="1"/>
    <col min="12" max="13" width="11.28515625" style="2" customWidth="1"/>
    <col min="14" max="14" width="57.28515625" style="1" bestFit="1" customWidth="1"/>
  </cols>
  <sheetData>
    <row r="1" spans="1:14" ht="45" x14ac:dyDescent="0.2">
      <c r="A1" s="34" t="s">
        <v>416</v>
      </c>
      <c r="B1" s="34" t="s">
        <v>417</v>
      </c>
      <c r="C1" s="34" t="s">
        <v>418</v>
      </c>
      <c r="D1" s="34" t="s">
        <v>419</v>
      </c>
      <c r="E1" s="34" t="s">
        <v>420</v>
      </c>
      <c r="F1" s="34" t="s">
        <v>414</v>
      </c>
      <c r="G1" s="34" t="s">
        <v>421</v>
      </c>
      <c r="H1" s="34" t="s">
        <v>422</v>
      </c>
      <c r="I1" s="34" t="s">
        <v>423</v>
      </c>
      <c r="J1" s="34" t="s">
        <v>424</v>
      </c>
      <c r="K1" s="34" t="s">
        <v>415</v>
      </c>
      <c r="L1" s="34" t="s">
        <v>425</v>
      </c>
      <c r="M1" s="34" t="s">
        <v>426</v>
      </c>
      <c r="N1" s="34" t="s">
        <v>413</v>
      </c>
    </row>
    <row r="2" spans="1:14" x14ac:dyDescent="0.2">
      <c r="A2" s="7">
        <v>300005</v>
      </c>
      <c r="B2" s="2">
        <v>9</v>
      </c>
      <c r="C2" s="7" t="s">
        <v>412</v>
      </c>
      <c r="D2" s="8" t="s">
        <v>90</v>
      </c>
      <c r="E2" s="7">
        <v>302480</v>
      </c>
      <c r="F2" s="8" t="s">
        <v>411</v>
      </c>
      <c r="G2" s="7">
        <v>70</v>
      </c>
      <c r="H2" s="7">
        <v>96.5</v>
      </c>
      <c r="I2" s="7" t="s">
        <v>62</v>
      </c>
      <c r="J2" s="2">
        <v>0.5</v>
      </c>
      <c r="K2" s="7">
        <v>12</v>
      </c>
      <c r="L2" s="7">
        <v>2470</v>
      </c>
      <c r="M2" s="7">
        <v>2118</v>
      </c>
      <c r="N2" s="6" t="s">
        <v>85</v>
      </c>
    </row>
    <row r="3" spans="1:14" x14ac:dyDescent="0.2">
      <c r="A3" s="2">
        <v>300006</v>
      </c>
      <c r="B3" s="2">
        <v>9</v>
      </c>
      <c r="C3" s="2" t="str">
        <f t="shared" ref="C3:C66" si="0">+CONCATENATE(A3,B3)</f>
        <v>3000069</v>
      </c>
      <c r="D3" s="3" t="s">
        <v>89</v>
      </c>
      <c r="E3" s="2">
        <v>300525</v>
      </c>
      <c r="F3" s="3" t="s">
        <v>223</v>
      </c>
      <c r="G3" s="2">
        <v>70</v>
      </c>
      <c r="H3" s="2">
        <v>96.5</v>
      </c>
      <c r="I3" s="2" t="s">
        <v>62</v>
      </c>
      <c r="J3" s="2">
        <v>0.5</v>
      </c>
      <c r="K3" s="7">
        <v>12</v>
      </c>
      <c r="L3" s="2">
        <v>2470</v>
      </c>
      <c r="M3" s="2">
        <v>2118</v>
      </c>
      <c r="N3" s="1" t="s">
        <v>85</v>
      </c>
    </row>
    <row r="4" spans="1:14" x14ac:dyDescent="0.2">
      <c r="A4" s="2">
        <v>300007</v>
      </c>
      <c r="B4" s="2">
        <v>9</v>
      </c>
      <c r="C4" s="2" t="str">
        <f t="shared" si="0"/>
        <v>3000079</v>
      </c>
      <c r="D4" s="3" t="s">
        <v>88</v>
      </c>
      <c r="E4" s="2">
        <v>302480</v>
      </c>
      <c r="F4" s="3" t="s">
        <v>411</v>
      </c>
      <c r="G4" s="2">
        <v>75</v>
      </c>
      <c r="H4" s="2">
        <v>96.5</v>
      </c>
      <c r="I4" s="2" t="s">
        <v>62</v>
      </c>
      <c r="J4" s="2">
        <v>0.5</v>
      </c>
      <c r="K4" s="7">
        <v>19</v>
      </c>
      <c r="L4" s="2">
        <v>2470</v>
      </c>
      <c r="M4" s="2">
        <v>2118</v>
      </c>
      <c r="N4" s="1" t="s">
        <v>85</v>
      </c>
    </row>
    <row r="5" spans="1:14" x14ac:dyDescent="0.2">
      <c r="A5" s="2">
        <v>300008</v>
      </c>
      <c r="B5" s="2">
        <v>9</v>
      </c>
      <c r="C5" s="2" t="str">
        <f t="shared" si="0"/>
        <v>3000089</v>
      </c>
      <c r="D5" s="3" t="s">
        <v>87</v>
      </c>
      <c r="E5" s="2">
        <v>300525</v>
      </c>
      <c r="F5" s="3" t="s">
        <v>223</v>
      </c>
      <c r="G5" s="2">
        <v>75</v>
      </c>
      <c r="H5" s="2">
        <v>96.5</v>
      </c>
      <c r="I5" s="2" t="s">
        <v>62</v>
      </c>
      <c r="J5" s="2">
        <v>0.5</v>
      </c>
      <c r="K5" s="7">
        <v>19</v>
      </c>
      <c r="L5" s="2">
        <v>2470</v>
      </c>
      <c r="M5" s="2">
        <v>2118</v>
      </c>
      <c r="N5" s="1" t="s">
        <v>85</v>
      </c>
    </row>
    <row r="6" spans="1:14" x14ac:dyDescent="0.2">
      <c r="A6" s="2">
        <v>302470</v>
      </c>
      <c r="B6" s="2" t="s">
        <v>10</v>
      </c>
      <c r="C6" s="2" t="str">
        <f t="shared" si="0"/>
        <v>302470b</v>
      </c>
      <c r="D6" s="3" t="s">
        <v>83</v>
      </c>
      <c r="E6" s="2">
        <v>302151</v>
      </c>
      <c r="F6" s="3" t="s">
        <v>269</v>
      </c>
      <c r="G6" s="2">
        <v>60</v>
      </c>
      <c r="H6" s="2">
        <v>96.5</v>
      </c>
      <c r="I6" s="2" t="s">
        <v>62</v>
      </c>
      <c r="J6" s="2">
        <v>0.5</v>
      </c>
      <c r="K6" s="7">
        <v>3</v>
      </c>
      <c r="L6" s="2">
        <v>2470</v>
      </c>
      <c r="M6" s="2">
        <v>2118</v>
      </c>
      <c r="N6" s="1" t="s">
        <v>410</v>
      </c>
    </row>
    <row r="7" spans="1:14" x14ac:dyDescent="0.2">
      <c r="A7" s="2">
        <v>302471</v>
      </c>
      <c r="B7" s="2" t="s">
        <v>10</v>
      </c>
      <c r="C7" s="2" t="str">
        <f t="shared" si="0"/>
        <v>302471b</v>
      </c>
      <c r="D7" s="3" t="s">
        <v>82</v>
      </c>
      <c r="E7" s="2">
        <v>302151</v>
      </c>
      <c r="F7" s="3" t="s">
        <v>269</v>
      </c>
      <c r="G7" s="2">
        <v>72</v>
      </c>
      <c r="H7" s="2">
        <v>96.7</v>
      </c>
      <c r="I7" s="2" t="s">
        <v>62</v>
      </c>
      <c r="J7" s="2">
        <v>0.5</v>
      </c>
      <c r="K7" s="7">
        <v>8</v>
      </c>
      <c r="L7" s="2">
        <v>2470</v>
      </c>
      <c r="M7" s="2">
        <v>2118</v>
      </c>
      <c r="N7" s="1" t="s">
        <v>410</v>
      </c>
    </row>
    <row r="8" spans="1:14" x14ac:dyDescent="0.2">
      <c r="A8" s="2">
        <v>302472</v>
      </c>
      <c r="B8" s="2" t="s">
        <v>10</v>
      </c>
      <c r="C8" s="2" t="str">
        <f t="shared" si="0"/>
        <v>302472b</v>
      </c>
      <c r="D8" s="3" t="s">
        <v>80</v>
      </c>
      <c r="E8" s="2">
        <v>302151</v>
      </c>
      <c r="F8" s="3" t="s">
        <v>269</v>
      </c>
      <c r="G8" s="2">
        <v>70</v>
      </c>
      <c r="H8" s="2">
        <v>96.5</v>
      </c>
      <c r="I8" s="2" t="s">
        <v>62</v>
      </c>
      <c r="J8" s="2">
        <v>0.5</v>
      </c>
      <c r="K8" s="7">
        <v>14</v>
      </c>
      <c r="L8" s="2">
        <v>2470</v>
      </c>
      <c r="M8" s="2">
        <v>2118</v>
      </c>
      <c r="N8" s="1" t="s">
        <v>410</v>
      </c>
    </row>
    <row r="9" spans="1:14" x14ac:dyDescent="0.2">
      <c r="A9" s="2">
        <v>302473</v>
      </c>
      <c r="B9" s="2" t="s">
        <v>10</v>
      </c>
      <c r="C9" s="2" t="str">
        <f t="shared" si="0"/>
        <v>302473b</v>
      </c>
      <c r="D9" s="3" t="s">
        <v>78</v>
      </c>
      <c r="E9" s="2">
        <v>302151</v>
      </c>
      <c r="F9" s="3" t="s">
        <v>269</v>
      </c>
      <c r="G9" s="2">
        <v>70</v>
      </c>
      <c r="H9" s="2">
        <v>96.5</v>
      </c>
      <c r="I9" s="2" t="s">
        <v>62</v>
      </c>
      <c r="J9" s="2">
        <v>0.5</v>
      </c>
      <c r="K9" s="7">
        <v>16</v>
      </c>
      <c r="L9" s="2">
        <v>2470</v>
      </c>
      <c r="M9" s="2">
        <v>2118</v>
      </c>
      <c r="N9" s="1" t="s">
        <v>410</v>
      </c>
    </row>
    <row r="10" spans="1:14" x14ac:dyDescent="0.2">
      <c r="A10" s="2">
        <v>300007</v>
      </c>
      <c r="B10" s="2" t="s">
        <v>10</v>
      </c>
      <c r="C10" s="2" t="str">
        <f t="shared" si="0"/>
        <v>300007b</v>
      </c>
      <c r="D10" s="3" t="s">
        <v>88</v>
      </c>
      <c r="E10" s="2">
        <v>302151</v>
      </c>
      <c r="F10" s="3" t="s">
        <v>269</v>
      </c>
      <c r="G10" s="2">
        <v>75</v>
      </c>
      <c r="H10" s="2">
        <v>96.5</v>
      </c>
      <c r="I10" s="2" t="s">
        <v>62</v>
      </c>
      <c r="J10" s="2">
        <v>0.5</v>
      </c>
      <c r="K10" s="7">
        <v>19</v>
      </c>
      <c r="L10" s="2">
        <v>2470</v>
      </c>
      <c r="M10" s="2">
        <v>2118</v>
      </c>
      <c r="N10" s="1" t="s">
        <v>85</v>
      </c>
    </row>
    <row r="11" spans="1:14" x14ac:dyDescent="0.2">
      <c r="A11" s="2">
        <v>300005</v>
      </c>
      <c r="B11" s="2" t="s">
        <v>10</v>
      </c>
      <c r="C11" s="2" t="str">
        <f t="shared" si="0"/>
        <v>300005b</v>
      </c>
      <c r="D11" s="3" t="s">
        <v>90</v>
      </c>
      <c r="E11" s="2">
        <v>302151</v>
      </c>
      <c r="F11" s="3" t="s">
        <v>269</v>
      </c>
      <c r="G11" s="2">
        <v>70</v>
      </c>
      <c r="H11" s="2">
        <v>96.5</v>
      </c>
      <c r="I11" s="2" t="s">
        <v>62</v>
      </c>
      <c r="J11" s="2">
        <v>0.5</v>
      </c>
      <c r="K11" s="7">
        <v>12</v>
      </c>
      <c r="L11" s="2">
        <v>2470</v>
      </c>
      <c r="M11" s="2">
        <v>2118</v>
      </c>
      <c r="N11" s="1" t="s">
        <v>85</v>
      </c>
    </row>
    <row r="12" spans="1:14" x14ac:dyDescent="0.2">
      <c r="A12" s="2">
        <v>302470</v>
      </c>
      <c r="B12" s="2">
        <v>9</v>
      </c>
      <c r="C12" s="2" t="str">
        <f t="shared" si="0"/>
        <v>3024709</v>
      </c>
      <c r="D12" s="3" t="s">
        <v>83</v>
      </c>
      <c r="E12" s="2">
        <v>302480</v>
      </c>
      <c r="F12" s="3" t="s">
        <v>411</v>
      </c>
      <c r="G12" s="2">
        <v>60</v>
      </c>
      <c r="H12" s="2">
        <v>96.5</v>
      </c>
      <c r="I12" s="2" t="s">
        <v>62</v>
      </c>
      <c r="J12" s="2">
        <v>0.5</v>
      </c>
      <c r="K12" s="7">
        <v>3</v>
      </c>
      <c r="L12" s="2">
        <v>2420</v>
      </c>
      <c r="M12" s="2">
        <v>2118</v>
      </c>
      <c r="N12" s="1" t="s">
        <v>410</v>
      </c>
    </row>
    <row r="13" spans="1:14" x14ac:dyDescent="0.2">
      <c r="A13" s="2">
        <v>302471</v>
      </c>
      <c r="B13" s="2">
        <v>9</v>
      </c>
      <c r="C13" s="2" t="str">
        <f t="shared" si="0"/>
        <v>3024719</v>
      </c>
      <c r="D13" s="3" t="s">
        <v>82</v>
      </c>
      <c r="E13" s="2">
        <v>302480</v>
      </c>
      <c r="F13" s="3" t="s">
        <v>411</v>
      </c>
      <c r="G13" s="2">
        <v>72</v>
      </c>
      <c r="H13" s="2">
        <v>96.7</v>
      </c>
      <c r="I13" s="2" t="s">
        <v>62</v>
      </c>
      <c r="J13" s="2">
        <v>0.5</v>
      </c>
      <c r="K13" s="7">
        <v>8</v>
      </c>
      <c r="L13" s="2">
        <v>2470</v>
      </c>
      <c r="M13" s="2">
        <v>2118</v>
      </c>
      <c r="N13" s="1" t="s">
        <v>410</v>
      </c>
    </row>
    <row r="14" spans="1:14" x14ac:dyDescent="0.2">
      <c r="A14" s="2">
        <v>302472</v>
      </c>
      <c r="B14" s="2">
        <v>9</v>
      </c>
      <c r="C14" s="2" t="str">
        <f t="shared" si="0"/>
        <v>3024729</v>
      </c>
      <c r="D14" s="3" t="s">
        <v>80</v>
      </c>
      <c r="E14" s="2">
        <v>302480</v>
      </c>
      <c r="F14" s="3" t="s">
        <v>411</v>
      </c>
      <c r="G14" s="2">
        <v>70</v>
      </c>
      <c r="H14" s="2">
        <v>96.5</v>
      </c>
      <c r="I14" s="2" t="s">
        <v>62</v>
      </c>
      <c r="J14" s="2">
        <v>0.5</v>
      </c>
      <c r="K14" s="7">
        <v>14</v>
      </c>
      <c r="L14" s="2">
        <v>2470</v>
      </c>
      <c r="M14" s="2">
        <v>2118</v>
      </c>
      <c r="N14" s="1" t="s">
        <v>410</v>
      </c>
    </row>
    <row r="15" spans="1:14" x14ac:dyDescent="0.2">
      <c r="A15" s="2">
        <v>302473</v>
      </c>
      <c r="B15" s="2">
        <v>9</v>
      </c>
      <c r="C15" s="2" t="str">
        <f t="shared" si="0"/>
        <v>3024739</v>
      </c>
      <c r="D15" s="3" t="s">
        <v>78</v>
      </c>
      <c r="E15" s="2">
        <v>302480</v>
      </c>
      <c r="F15" s="3" t="s">
        <v>411</v>
      </c>
      <c r="G15" s="2">
        <v>70</v>
      </c>
      <c r="H15" s="2">
        <v>96.5</v>
      </c>
      <c r="I15" s="2" t="s">
        <v>62</v>
      </c>
      <c r="J15" s="2">
        <v>0.5</v>
      </c>
      <c r="K15" s="7">
        <v>16</v>
      </c>
      <c r="L15" s="2">
        <v>2480</v>
      </c>
      <c r="M15" s="2">
        <v>2118</v>
      </c>
      <c r="N15" s="1" t="s">
        <v>410</v>
      </c>
    </row>
    <row r="16" spans="1:14" x14ac:dyDescent="0.2">
      <c r="A16" s="2">
        <v>405132</v>
      </c>
      <c r="C16" s="2" t="str">
        <f t="shared" si="0"/>
        <v>405132</v>
      </c>
      <c r="D16" s="3" t="s">
        <v>408</v>
      </c>
      <c r="E16" s="2">
        <v>303470</v>
      </c>
      <c r="F16" s="3" t="s">
        <v>370</v>
      </c>
      <c r="G16" s="2">
        <v>60</v>
      </c>
      <c r="H16" s="2">
        <v>97.3</v>
      </c>
      <c r="I16" s="2" t="s">
        <v>70</v>
      </c>
      <c r="J16" s="2">
        <v>0.5</v>
      </c>
      <c r="K16" s="7">
        <v>11</v>
      </c>
      <c r="L16" s="2">
        <v>2820</v>
      </c>
      <c r="M16" s="2">
        <v>2111</v>
      </c>
      <c r="N16" s="1" t="s">
        <v>409</v>
      </c>
    </row>
    <row r="17" spans="1:14" x14ac:dyDescent="0.2">
      <c r="A17" s="2">
        <v>405132</v>
      </c>
      <c r="B17" s="2" t="s">
        <v>10</v>
      </c>
      <c r="C17" s="2" t="str">
        <f t="shared" si="0"/>
        <v>405132b</v>
      </c>
      <c r="D17" s="3" t="s">
        <v>408</v>
      </c>
      <c r="E17" s="2">
        <v>303470</v>
      </c>
      <c r="F17" s="3" t="s">
        <v>370</v>
      </c>
      <c r="G17" s="2">
        <v>60</v>
      </c>
      <c r="H17" s="2">
        <v>97.3</v>
      </c>
      <c r="I17" s="2" t="s">
        <v>70</v>
      </c>
      <c r="J17" s="2">
        <v>0.5</v>
      </c>
      <c r="K17" s="7">
        <v>11</v>
      </c>
      <c r="L17" s="2">
        <v>2820</v>
      </c>
      <c r="M17" s="2">
        <v>2118</v>
      </c>
      <c r="N17" s="1" t="s">
        <v>326</v>
      </c>
    </row>
    <row r="18" spans="1:14" x14ac:dyDescent="0.2">
      <c r="A18" s="2">
        <v>301107</v>
      </c>
      <c r="C18" s="2" t="str">
        <f t="shared" si="0"/>
        <v>301107</v>
      </c>
      <c r="D18" s="3" t="s">
        <v>407</v>
      </c>
      <c r="E18" s="2">
        <v>303470</v>
      </c>
      <c r="F18" s="3" t="s">
        <v>370</v>
      </c>
      <c r="G18" s="2">
        <v>75</v>
      </c>
      <c r="H18" s="2">
        <v>97.3</v>
      </c>
      <c r="I18" s="2" t="s">
        <v>70</v>
      </c>
      <c r="J18" s="2">
        <v>0.5</v>
      </c>
      <c r="K18" s="7">
        <v>11</v>
      </c>
      <c r="L18" s="2">
        <v>2820</v>
      </c>
      <c r="M18" s="2">
        <v>2118</v>
      </c>
      <c r="N18" s="1" t="s">
        <v>397</v>
      </c>
    </row>
    <row r="19" spans="1:14" x14ac:dyDescent="0.2">
      <c r="A19" s="2">
        <v>301107</v>
      </c>
      <c r="B19" s="2" t="s">
        <v>334</v>
      </c>
      <c r="C19" s="2" t="str">
        <f t="shared" si="0"/>
        <v xml:space="preserve">301107e </v>
      </c>
      <c r="D19" s="3" t="s">
        <v>407</v>
      </c>
      <c r="E19" s="2">
        <v>303452</v>
      </c>
      <c r="F19" s="3" t="s">
        <v>73</v>
      </c>
      <c r="G19" s="2">
        <v>75</v>
      </c>
      <c r="H19" s="2">
        <v>97.3</v>
      </c>
      <c r="I19" s="2" t="s">
        <v>70</v>
      </c>
      <c r="J19" s="2">
        <v>0.5</v>
      </c>
      <c r="K19" s="7">
        <v>11</v>
      </c>
      <c r="L19" s="2">
        <v>2820</v>
      </c>
      <c r="M19" s="2">
        <v>2118</v>
      </c>
      <c r="N19" s="1" t="s">
        <v>406</v>
      </c>
    </row>
    <row r="20" spans="1:14" x14ac:dyDescent="0.2">
      <c r="A20" s="2">
        <v>301108</v>
      </c>
      <c r="B20" s="2" t="s">
        <v>405</v>
      </c>
      <c r="C20" s="2" t="str">
        <f t="shared" si="0"/>
        <v>301108nb</v>
      </c>
      <c r="D20" s="3" t="s">
        <v>398</v>
      </c>
      <c r="E20" s="2">
        <v>303101</v>
      </c>
      <c r="F20" s="3" t="s">
        <v>404</v>
      </c>
      <c r="G20" s="2">
        <v>76.5</v>
      </c>
      <c r="H20" s="2">
        <v>97.3</v>
      </c>
      <c r="I20" s="2" t="s">
        <v>70</v>
      </c>
      <c r="J20" s="2">
        <v>0.5</v>
      </c>
      <c r="K20" s="7">
        <v>18</v>
      </c>
      <c r="L20" s="2">
        <v>2470</v>
      </c>
      <c r="M20" s="2">
        <v>2118</v>
      </c>
      <c r="N20" s="1" t="s">
        <v>321</v>
      </c>
    </row>
    <row r="21" spans="1:14" x14ac:dyDescent="0.2">
      <c r="A21" s="2">
        <v>301108</v>
      </c>
      <c r="B21" s="2" t="s">
        <v>403</v>
      </c>
      <c r="C21" s="2" t="str">
        <f t="shared" si="0"/>
        <v>301108T</v>
      </c>
      <c r="D21" s="3" t="s">
        <v>398</v>
      </c>
      <c r="E21" s="33">
        <v>302351</v>
      </c>
      <c r="F21" s="3" t="s">
        <v>402</v>
      </c>
      <c r="G21" s="2">
        <v>76.5</v>
      </c>
      <c r="H21" s="2">
        <v>97.3</v>
      </c>
      <c r="I21" s="2" t="s">
        <v>70</v>
      </c>
      <c r="J21" s="2">
        <v>0.5</v>
      </c>
      <c r="K21" s="7">
        <v>18</v>
      </c>
      <c r="L21" s="2">
        <v>2470</v>
      </c>
      <c r="M21" s="2">
        <v>2118</v>
      </c>
      <c r="N21" s="32" t="s">
        <v>401</v>
      </c>
    </row>
    <row r="22" spans="1:14" x14ac:dyDescent="0.2">
      <c r="A22" s="2">
        <v>301108</v>
      </c>
      <c r="B22" s="2">
        <v>9</v>
      </c>
      <c r="C22" s="2" t="str">
        <f t="shared" si="0"/>
        <v>3011089</v>
      </c>
      <c r="D22" s="3" t="s">
        <v>398</v>
      </c>
      <c r="E22" s="2">
        <v>302373</v>
      </c>
      <c r="F22" s="3" t="s">
        <v>400</v>
      </c>
      <c r="G22" s="2">
        <v>76.5</v>
      </c>
      <c r="H22" s="2">
        <v>97.3</v>
      </c>
      <c r="I22" s="2" t="s">
        <v>70</v>
      </c>
      <c r="J22" s="2">
        <v>0.5</v>
      </c>
      <c r="K22" s="7">
        <v>18</v>
      </c>
      <c r="L22" s="2">
        <v>2470</v>
      </c>
      <c r="M22" s="2">
        <v>2118</v>
      </c>
      <c r="N22" s="1" t="s">
        <v>321</v>
      </c>
    </row>
    <row r="23" spans="1:14" x14ac:dyDescent="0.2">
      <c r="A23" s="2">
        <v>405134</v>
      </c>
      <c r="B23" s="2" t="s">
        <v>10</v>
      </c>
      <c r="C23" s="2" t="str">
        <f t="shared" si="0"/>
        <v>405134b</v>
      </c>
      <c r="D23" s="3" t="s">
        <v>399</v>
      </c>
      <c r="E23" s="2">
        <v>303470</v>
      </c>
      <c r="F23" s="3" t="s">
        <v>370</v>
      </c>
      <c r="G23" s="2">
        <v>76.5</v>
      </c>
      <c r="H23" s="2">
        <v>97.3</v>
      </c>
      <c r="I23" s="2" t="s">
        <v>70</v>
      </c>
      <c r="J23" s="2">
        <v>0.5</v>
      </c>
      <c r="K23" s="7">
        <v>18</v>
      </c>
      <c r="L23" s="2">
        <v>2820</v>
      </c>
      <c r="M23" s="2">
        <v>2118</v>
      </c>
      <c r="N23" s="1" t="s">
        <v>326</v>
      </c>
    </row>
    <row r="24" spans="1:14" x14ac:dyDescent="0.2">
      <c r="A24" s="2">
        <v>301108</v>
      </c>
      <c r="C24" s="2" t="str">
        <f t="shared" si="0"/>
        <v>301108</v>
      </c>
      <c r="D24" s="3" t="s">
        <v>398</v>
      </c>
      <c r="E24" s="2">
        <v>303470</v>
      </c>
      <c r="F24" s="3" t="s">
        <v>370</v>
      </c>
      <c r="G24" s="2">
        <v>76.5</v>
      </c>
      <c r="H24" s="2">
        <v>97.3</v>
      </c>
      <c r="I24" s="2" t="s">
        <v>70</v>
      </c>
      <c r="J24" s="2">
        <v>0.5</v>
      </c>
      <c r="K24" s="7">
        <v>18</v>
      </c>
      <c r="L24" s="2">
        <v>2820</v>
      </c>
      <c r="M24" s="2">
        <v>2118</v>
      </c>
      <c r="N24" s="1" t="s">
        <v>397</v>
      </c>
    </row>
    <row r="25" spans="1:14" x14ac:dyDescent="0.2">
      <c r="A25" s="2">
        <v>410010</v>
      </c>
      <c r="B25" s="2">
        <v>1</v>
      </c>
      <c r="C25" s="2" t="str">
        <f t="shared" si="0"/>
        <v>4100101</v>
      </c>
      <c r="D25" s="3" t="s">
        <v>395</v>
      </c>
      <c r="E25" s="2">
        <v>303485</v>
      </c>
      <c r="F25" s="3" t="s">
        <v>234</v>
      </c>
      <c r="G25" s="2">
        <v>63.5</v>
      </c>
      <c r="H25" s="2">
        <v>96.5</v>
      </c>
      <c r="I25" s="2" t="s">
        <v>70</v>
      </c>
      <c r="J25" s="2">
        <v>0.5</v>
      </c>
      <c r="K25" s="7">
        <v>4</v>
      </c>
      <c r="L25" s="2">
        <v>2450</v>
      </c>
      <c r="M25" s="2">
        <v>2113</v>
      </c>
      <c r="N25" s="1" t="s">
        <v>396</v>
      </c>
    </row>
    <row r="26" spans="1:14" x14ac:dyDescent="0.2">
      <c r="A26" s="2">
        <v>410010</v>
      </c>
      <c r="B26" s="2">
        <v>2</v>
      </c>
      <c r="C26" s="2" t="str">
        <f t="shared" si="0"/>
        <v>4100102</v>
      </c>
      <c r="D26" s="3" t="s">
        <v>395</v>
      </c>
      <c r="E26" s="2">
        <v>303485</v>
      </c>
      <c r="F26" s="3" t="s">
        <v>234</v>
      </c>
      <c r="G26" s="2">
        <v>63.5</v>
      </c>
      <c r="H26" s="2">
        <v>96.5</v>
      </c>
      <c r="I26" s="2" t="s">
        <v>70</v>
      </c>
      <c r="J26" s="2">
        <v>0.5</v>
      </c>
      <c r="K26" s="7">
        <v>4</v>
      </c>
      <c r="L26" s="2">
        <v>2450</v>
      </c>
      <c r="M26" s="2">
        <v>2113</v>
      </c>
      <c r="N26" s="1" t="s">
        <v>229</v>
      </c>
    </row>
    <row r="27" spans="1:14" x14ac:dyDescent="0.2">
      <c r="A27" s="2">
        <v>408264</v>
      </c>
      <c r="C27" s="2" t="str">
        <f t="shared" si="0"/>
        <v>408264</v>
      </c>
      <c r="D27" s="3" t="s">
        <v>393</v>
      </c>
      <c r="E27" s="2">
        <v>303468</v>
      </c>
      <c r="F27" s="3" t="s">
        <v>385</v>
      </c>
      <c r="G27" s="2">
        <v>75</v>
      </c>
      <c r="H27" s="2">
        <v>97</v>
      </c>
      <c r="I27" s="2" t="s">
        <v>70</v>
      </c>
      <c r="J27" s="2">
        <v>0.5</v>
      </c>
      <c r="K27" s="7">
        <v>8</v>
      </c>
      <c r="L27" s="2">
        <v>2820</v>
      </c>
      <c r="M27" s="2">
        <v>2113</v>
      </c>
      <c r="N27" s="1" t="s">
        <v>394</v>
      </c>
    </row>
    <row r="28" spans="1:14" x14ac:dyDescent="0.2">
      <c r="A28" s="2">
        <v>408264</v>
      </c>
      <c r="B28" s="2">
        <v>2</v>
      </c>
      <c r="C28" s="2" t="str">
        <f t="shared" si="0"/>
        <v>4082642</v>
      </c>
      <c r="D28" s="3" t="s">
        <v>393</v>
      </c>
      <c r="E28" s="2">
        <v>303468</v>
      </c>
      <c r="F28" s="3" t="s">
        <v>385</v>
      </c>
      <c r="G28" s="2">
        <v>75</v>
      </c>
      <c r="H28" s="2">
        <v>97</v>
      </c>
      <c r="I28" s="2" t="s">
        <v>70</v>
      </c>
      <c r="J28" s="2">
        <v>0.5</v>
      </c>
      <c r="K28" s="7">
        <v>8</v>
      </c>
      <c r="L28" s="2">
        <v>2820</v>
      </c>
      <c r="M28" s="2">
        <v>2113</v>
      </c>
      <c r="N28" s="1" t="s">
        <v>372</v>
      </c>
    </row>
    <row r="29" spans="1:14" x14ac:dyDescent="0.2">
      <c r="A29" s="2">
        <v>408264</v>
      </c>
      <c r="B29" s="2">
        <v>1</v>
      </c>
      <c r="C29" s="2" t="str">
        <f t="shared" si="0"/>
        <v>4082641</v>
      </c>
      <c r="D29" s="3" t="s">
        <v>393</v>
      </c>
      <c r="E29" s="2">
        <v>303468</v>
      </c>
      <c r="F29" s="3" t="s">
        <v>385</v>
      </c>
      <c r="G29" s="2">
        <v>75</v>
      </c>
      <c r="H29" s="2">
        <v>97</v>
      </c>
      <c r="I29" s="2" t="s">
        <v>70</v>
      </c>
      <c r="J29" s="2">
        <v>0.5</v>
      </c>
      <c r="K29" s="7">
        <v>8</v>
      </c>
      <c r="L29" s="2">
        <v>2820</v>
      </c>
      <c r="M29" s="2">
        <v>2113</v>
      </c>
      <c r="N29" s="1" t="s">
        <v>369</v>
      </c>
    </row>
    <row r="30" spans="1:14" x14ac:dyDescent="0.2">
      <c r="A30" s="26">
        <v>304695</v>
      </c>
      <c r="C30" s="2" t="str">
        <f t="shared" si="0"/>
        <v>304695</v>
      </c>
      <c r="D30" t="s">
        <v>392</v>
      </c>
      <c r="E30" s="2">
        <v>303468</v>
      </c>
      <c r="F30" s="3" t="s">
        <v>385</v>
      </c>
      <c r="G30" s="2">
        <v>75</v>
      </c>
      <c r="H30" s="2">
        <v>97</v>
      </c>
      <c r="I30" s="2" t="s">
        <v>70</v>
      </c>
      <c r="J30" s="2">
        <v>0.5</v>
      </c>
      <c r="K30" s="7">
        <v>8</v>
      </c>
      <c r="L30" s="2">
        <v>2820</v>
      </c>
      <c r="M30" s="2">
        <v>2118</v>
      </c>
      <c r="N30" s="1" t="s">
        <v>391</v>
      </c>
    </row>
    <row r="31" spans="1:14" x14ac:dyDescent="0.2">
      <c r="A31" s="26">
        <v>300000</v>
      </c>
      <c r="C31" s="2" t="str">
        <f t="shared" si="0"/>
        <v>300000</v>
      </c>
      <c r="D31" t="s">
        <v>389</v>
      </c>
      <c r="E31" s="2">
        <v>303468</v>
      </c>
      <c r="F31" s="3" t="s">
        <v>385</v>
      </c>
      <c r="G31" s="2">
        <v>75</v>
      </c>
      <c r="H31" s="2">
        <v>97</v>
      </c>
      <c r="I31" s="2" t="s">
        <v>70</v>
      </c>
      <c r="J31" s="2">
        <v>0.5</v>
      </c>
      <c r="K31" s="7">
        <v>8</v>
      </c>
      <c r="L31" s="2">
        <v>2820</v>
      </c>
      <c r="M31" s="2">
        <v>2118</v>
      </c>
      <c r="N31" s="1" t="s">
        <v>380</v>
      </c>
    </row>
    <row r="32" spans="1:14" x14ac:dyDescent="0.2">
      <c r="A32" s="26">
        <v>300000</v>
      </c>
      <c r="B32" s="2" t="s">
        <v>390</v>
      </c>
      <c r="C32" s="2" t="str">
        <f t="shared" si="0"/>
        <v>300000q</v>
      </c>
      <c r="D32" t="s">
        <v>389</v>
      </c>
      <c r="E32" s="2">
        <v>304024</v>
      </c>
      <c r="F32" s="3" t="s">
        <v>388</v>
      </c>
      <c r="G32" s="2">
        <v>75</v>
      </c>
      <c r="H32" s="2">
        <v>97</v>
      </c>
      <c r="I32" s="2" t="s">
        <v>70</v>
      </c>
      <c r="J32" s="2">
        <v>0.5</v>
      </c>
      <c r="K32" s="7">
        <v>8</v>
      </c>
      <c r="L32" s="2">
        <v>2820</v>
      </c>
      <c r="M32" s="2">
        <v>2118</v>
      </c>
      <c r="N32" s="1" t="s">
        <v>387</v>
      </c>
    </row>
    <row r="33" spans="1:14" x14ac:dyDescent="0.2">
      <c r="A33" s="2">
        <v>405131</v>
      </c>
      <c r="C33" s="2" t="str">
        <f t="shared" si="0"/>
        <v>405131</v>
      </c>
      <c r="D33" s="3" t="s">
        <v>386</v>
      </c>
      <c r="E33" s="30">
        <v>303468</v>
      </c>
      <c r="F33" s="3" t="s">
        <v>385</v>
      </c>
      <c r="G33" s="2">
        <v>60</v>
      </c>
      <c r="H33" s="2">
        <v>97</v>
      </c>
      <c r="I33" s="2" t="s">
        <v>70</v>
      </c>
      <c r="J33" s="2">
        <v>0.5</v>
      </c>
      <c r="K33" s="7">
        <v>8</v>
      </c>
      <c r="L33" s="2">
        <v>2820</v>
      </c>
      <c r="M33" s="2">
        <v>2118</v>
      </c>
      <c r="N33" s="1" t="s">
        <v>326</v>
      </c>
    </row>
    <row r="34" spans="1:14" x14ac:dyDescent="0.2">
      <c r="A34" s="2">
        <v>408265</v>
      </c>
      <c r="C34" s="2" t="str">
        <f t="shared" si="0"/>
        <v>408265</v>
      </c>
      <c r="D34" s="3" t="s">
        <v>383</v>
      </c>
      <c r="E34" s="2">
        <v>303470</v>
      </c>
      <c r="F34" s="3" t="s">
        <v>370</v>
      </c>
      <c r="G34" s="2">
        <v>75</v>
      </c>
      <c r="H34" s="2">
        <v>97.2</v>
      </c>
      <c r="I34" s="2" t="s">
        <v>70</v>
      </c>
      <c r="J34" s="2">
        <v>0.5</v>
      </c>
      <c r="K34" s="7">
        <v>11</v>
      </c>
      <c r="L34" s="2">
        <v>2820</v>
      </c>
      <c r="M34" s="2">
        <v>2113</v>
      </c>
      <c r="N34" s="1" t="s">
        <v>384</v>
      </c>
    </row>
    <row r="35" spans="1:14" x14ac:dyDescent="0.2">
      <c r="A35" s="2">
        <v>408265</v>
      </c>
      <c r="B35" s="2">
        <v>1</v>
      </c>
      <c r="C35" s="2" t="str">
        <f t="shared" si="0"/>
        <v>4082651</v>
      </c>
      <c r="D35" s="3" t="s">
        <v>383</v>
      </c>
      <c r="E35" s="2">
        <v>303470</v>
      </c>
      <c r="F35" s="3" t="s">
        <v>370</v>
      </c>
      <c r="G35" s="2">
        <v>75</v>
      </c>
      <c r="H35" s="2">
        <v>97.2</v>
      </c>
      <c r="I35" s="2" t="s">
        <v>70</v>
      </c>
      <c r="J35" s="2">
        <v>0.5</v>
      </c>
      <c r="K35" s="7">
        <v>11</v>
      </c>
      <c r="L35" s="2">
        <v>2820</v>
      </c>
      <c r="M35" s="2">
        <v>2113</v>
      </c>
      <c r="N35" s="1" t="s">
        <v>369</v>
      </c>
    </row>
    <row r="36" spans="1:14" x14ac:dyDescent="0.2">
      <c r="A36" s="2">
        <v>405133</v>
      </c>
      <c r="C36" s="2" t="str">
        <f t="shared" si="0"/>
        <v>405133</v>
      </c>
      <c r="D36" t="s">
        <v>382</v>
      </c>
      <c r="E36" s="2">
        <v>303470</v>
      </c>
      <c r="F36" s="3" t="s">
        <v>370</v>
      </c>
      <c r="G36" s="2">
        <v>75</v>
      </c>
      <c r="H36" s="2">
        <v>96.5</v>
      </c>
      <c r="I36" s="2" t="s">
        <v>70</v>
      </c>
      <c r="J36" s="2">
        <v>0.5</v>
      </c>
      <c r="K36" s="7">
        <v>16</v>
      </c>
      <c r="L36" s="2">
        <v>2820</v>
      </c>
      <c r="M36" s="2">
        <v>2118</v>
      </c>
      <c r="N36" s="1" t="s">
        <v>380</v>
      </c>
    </row>
    <row r="37" spans="1:14" x14ac:dyDescent="0.2">
      <c r="A37" s="2">
        <v>301143</v>
      </c>
      <c r="C37" s="2" t="str">
        <f t="shared" si="0"/>
        <v>301143</v>
      </c>
      <c r="D37" t="s">
        <v>381</v>
      </c>
      <c r="E37" s="2">
        <v>303470</v>
      </c>
      <c r="F37" s="3" t="s">
        <v>370</v>
      </c>
      <c r="G37" s="2">
        <v>75</v>
      </c>
      <c r="H37" s="2">
        <v>96.5</v>
      </c>
      <c r="I37" s="2" t="s">
        <v>70</v>
      </c>
      <c r="J37" s="2">
        <v>0.5</v>
      </c>
      <c r="K37" s="7">
        <v>16</v>
      </c>
      <c r="L37" s="2">
        <v>2820</v>
      </c>
      <c r="M37" s="2">
        <v>2118</v>
      </c>
      <c r="N37" s="1" t="s">
        <v>380</v>
      </c>
    </row>
    <row r="38" spans="1:14" x14ac:dyDescent="0.2">
      <c r="A38" s="2">
        <v>408266</v>
      </c>
      <c r="C38" s="2" t="str">
        <f t="shared" si="0"/>
        <v>408266</v>
      </c>
      <c r="D38" s="3" t="s">
        <v>371</v>
      </c>
      <c r="E38" s="2">
        <v>303470</v>
      </c>
      <c r="F38" s="3" t="s">
        <v>370</v>
      </c>
      <c r="G38" s="2">
        <v>75</v>
      </c>
      <c r="H38" s="2">
        <v>97</v>
      </c>
      <c r="I38" s="2" t="s">
        <v>70</v>
      </c>
      <c r="J38" s="2">
        <v>0.5</v>
      </c>
      <c r="K38" s="7">
        <v>16</v>
      </c>
      <c r="L38" s="2">
        <v>2820</v>
      </c>
      <c r="M38" s="2">
        <v>2113</v>
      </c>
      <c r="N38" s="1" t="s">
        <v>379</v>
      </c>
    </row>
    <row r="39" spans="1:14" x14ac:dyDescent="0.2">
      <c r="A39" s="2">
        <v>408269</v>
      </c>
      <c r="C39" s="2" t="str">
        <f t="shared" si="0"/>
        <v>408269</v>
      </c>
      <c r="D39" s="3" t="s">
        <v>368</v>
      </c>
      <c r="E39" s="2">
        <v>303473</v>
      </c>
      <c r="F39" s="3" t="s">
        <v>367</v>
      </c>
      <c r="G39" s="2">
        <v>76</v>
      </c>
      <c r="H39" s="2">
        <v>97.2</v>
      </c>
      <c r="I39" s="2" t="s">
        <v>70</v>
      </c>
      <c r="J39" s="2">
        <v>0.5</v>
      </c>
      <c r="K39" s="7">
        <v>24</v>
      </c>
      <c r="L39" s="2">
        <v>2820</v>
      </c>
      <c r="M39" s="2">
        <v>2113</v>
      </c>
      <c r="N39" s="1" t="s">
        <v>366</v>
      </c>
    </row>
    <row r="40" spans="1:14" x14ac:dyDescent="0.2">
      <c r="A40" s="2">
        <v>411521</v>
      </c>
      <c r="C40" s="2" t="str">
        <f t="shared" si="0"/>
        <v>411521</v>
      </c>
      <c r="D40" s="3" t="s">
        <v>378</v>
      </c>
      <c r="E40" s="2">
        <v>303452</v>
      </c>
      <c r="F40" s="3" t="s">
        <v>73</v>
      </c>
      <c r="G40" s="2">
        <v>75</v>
      </c>
      <c r="H40" s="2">
        <v>97.2</v>
      </c>
      <c r="I40" s="2" t="s">
        <v>70</v>
      </c>
      <c r="J40" s="2">
        <v>0.5</v>
      </c>
      <c r="K40" s="7">
        <v>8</v>
      </c>
      <c r="L40" s="2">
        <v>2820</v>
      </c>
      <c r="M40" s="2">
        <v>2113</v>
      </c>
      <c r="N40" s="1" t="s">
        <v>376</v>
      </c>
    </row>
    <row r="41" spans="1:14" x14ac:dyDescent="0.2">
      <c r="A41" s="2">
        <v>411524</v>
      </c>
      <c r="C41" s="2" t="str">
        <f t="shared" si="0"/>
        <v>411524</v>
      </c>
      <c r="D41" s="3" t="s">
        <v>377</v>
      </c>
      <c r="E41" s="2">
        <v>303452</v>
      </c>
      <c r="F41" s="3" t="s">
        <v>73</v>
      </c>
      <c r="G41" s="2">
        <v>75</v>
      </c>
      <c r="H41" s="2">
        <v>97.2</v>
      </c>
      <c r="I41" s="2" t="s">
        <v>70</v>
      </c>
      <c r="J41" s="2">
        <v>0.5</v>
      </c>
      <c r="K41" s="7">
        <v>13</v>
      </c>
      <c r="L41" s="2">
        <v>2820</v>
      </c>
      <c r="M41" s="2">
        <v>2113</v>
      </c>
      <c r="N41" s="1" t="s">
        <v>376</v>
      </c>
    </row>
    <row r="42" spans="1:14" x14ac:dyDescent="0.2">
      <c r="A42" s="2">
        <v>411525</v>
      </c>
      <c r="C42" s="2" t="str">
        <f t="shared" si="0"/>
        <v>411525</v>
      </c>
      <c r="D42" s="3" t="s">
        <v>375</v>
      </c>
      <c r="E42" s="2">
        <v>303453</v>
      </c>
      <c r="F42" s="3" t="s">
        <v>71</v>
      </c>
      <c r="G42" s="2">
        <v>75</v>
      </c>
      <c r="H42" s="2">
        <v>97</v>
      </c>
      <c r="I42" s="2" t="s">
        <v>70</v>
      </c>
      <c r="J42" s="2">
        <v>0.5</v>
      </c>
      <c r="K42" s="7">
        <v>16</v>
      </c>
      <c r="L42" s="2">
        <v>2820</v>
      </c>
      <c r="M42" s="2">
        <v>2113</v>
      </c>
      <c r="N42" s="1" t="s">
        <v>373</v>
      </c>
    </row>
    <row r="43" spans="1:14" x14ac:dyDescent="0.2">
      <c r="A43" s="2">
        <v>411526</v>
      </c>
      <c r="C43" s="2" t="str">
        <f t="shared" si="0"/>
        <v>411526</v>
      </c>
      <c r="D43" s="3" t="s">
        <v>374</v>
      </c>
      <c r="E43" s="2">
        <v>303453</v>
      </c>
      <c r="F43" s="3" t="s">
        <v>71</v>
      </c>
      <c r="G43" s="2">
        <v>76</v>
      </c>
      <c r="H43" s="2">
        <v>97.2</v>
      </c>
      <c r="I43" s="2" t="s">
        <v>70</v>
      </c>
      <c r="J43" s="2">
        <v>0.5</v>
      </c>
      <c r="K43" s="7">
        <v>24</v>
      </c>
      <c r="L43" s="2">
        <v>2820</v>
      </c>
      <c r="M43" s="2">
        <v>2113</v>
      </c>
      <c r="N43" s="1" t="s">
        <v>373</v>
      </c>
    </row>
    <row r="44" spans="1:14" x14ac:dyDescent="0.2">
      <c r="A44" s="2">
        <v>408266</v>
      </c>
      <c r="B44" s="2">
        <v>1</v>
      </c>
      <c r="C44" s="2" t="str">
        <f t="shared" si="0"/>
        <v>4082661</v>
      </c>
      <c r="D44" s="3" t="s">
        <v>371</v>
      </c>
      <c r="E44" s="2">
        <v>303470</v>
      </c>
      <c r="F44" s="3" t="s">
        <v>370</v>
      </c>
      <c r="G44" s="2">
        <v>75</v>
      </c>
      <c r="H44" s="2">
        <v>97</v>
      </c>
      <c r="I44" s="2" t="s">
        <v>70</v>
      </c>
      <c r="J44" s="2">
        <v>0.5</v>
      </c>
      <c r="K44" s="7">
        <v>16</v>
      </c>
      <c r="L44" s="2">
        <v>2820</v>
      </c>
      <c r="M44" s="2">
        <v>2113</v>
      </c>
      <c r="N44" s="1" t="s">
        <v>372</v>
      </c>
    </row>
    <row r="45" spans="1:14" x14ac:dyDescent="0.2">
      <c r="A45" s="2">
        <v>408266</v>
      </c>
      <c r="B45" s="2">
        <v>2</v>
      </c>
      <c r="C45" s="2" t="str">
        <f t="shared" si="0"/>
        <v>4082662</v>
      </c>
      <c r="D45" s="3" t="s">
        <v>371</v>
      </c>
      <c r="E45" s="2">
        <v>303470</v>
      </c>
      <c r="F45" s="3" t="s">
        <v>370</v>
      </c>
      <c r="G45" s="2">
        <v>75</v>
      </c>
      <c r="H45" s="2">
        <v>97</v>
      </c>
      <c r="I45" s="2" t="s">
        <v>70</v>
      </c>
      <c r="J45" s="2">
        <v>0.5</v>
      </c>
      <c r="K45" s="7">
        <v>16</v>
      </c>
      <c r="L45" s="2">
        <v>2820</v>
      </c>
      <c r="M45" s="2">
        <v>2113</v>
      </c>
      <c r="N45" s="1" t="s">
        <v>369</v>
      </c>
    </row>
    <row r="46" spans="1:14" x14ac:dyDescent="0.2">
      <c r="A46" s="2">
        <v>408269</v>
      </c>
      <c r="B46" s="2">
        <v>1</v>
      </c>
      <c r="C46" s="5" t="str">
        <f t="shared" si="0"/>
        <v>4082691</v>
      </c>
      <c r="D46" s="3" t="s">
        <v>368</v>
      </c>
      <c r="E46" s="2">
        <v>303473</v>
      </c>
      <c r="F46" s="3" t="s">
        <v>367</v>
      </c>
      <c r="G46" s="2">
        <v>76</v>
      </c>
      <c r="H46" s="2">
        <v>97.2</v>
      </c>
      <c r="I46" s="2" t="s">
        <v>70</v>
      </c>
      <c r="J46" s="2">
        <v>0.5</v>
      </c>
      <c r="K46" s="7">
        <v>24</v>
      </c>
      <c r="L46" s="2">
        <v>2820</v>
      </c>
      <c r="M46" s="2">
        <v>2113</v>
      </c>
      <c r="N46" s="1" t="s">
        <v>366</v>
      </c>
    </row>
    <row r="47" spans="1:14" x14ac:dyDescent="0.2">
      <c r="A47" s="2">
        <v>302416</v>
      </c>
      <c r="B47" s="2">
        <v>9</v>
      </c>
      <c r="C47" s="2" t="str">
        <f t="shared" si="0"/>
        <v>3024169</v>
      </c>
      <c r="D47" s="3" t="s">
        <v>358</v>
      </c>
      <c r="E47" s="2">
        <v>302520</v>
      </c>
      <c r="F47" s="3" t="s">
        <v>311</v>
      </c>
      <c r="G47" s="2">
        <v>59</v>
      </c>
      <c r="H47" s="2">
        <v>97</v>
      </c>
      <c r="I47" s="2" t="s">
        <v>70</v>
      </c>
      <c r="J47" s="2">
        <v>0.5</v>
      </c>
      <c r="K47" s="7">
        <v>2</v>
      </c>
      <c r="L47" s="2">
        <v>2400</v>
      </c>
      <c r="M47" s="2">
        <v>2118</v>
      </c>
      <c r="N47" s="1" t="s">
        <v>347</v>
      </c>
    </row>
    <row r="48" spans="1:14" x14ac:dyDescent="0.2">
      <c r="A48" s="2">
        <v>404739</v>
      </c>
      <c r="B48" s="2">
        <v>9</v>
      </c>
      <c r="C48" s="2" t="str">
        <f t="shared" si="0"/>
        <v>4047399</v>
      </c>
      <c r="D48" s="3" t="s">
        <v>357</v>
      </c>
      <c r="E48" s="2">
        <v>300972</v>
      </c>
      <c r="F48" s="3" t="s">
        <v>311</v>
      </c>
      <c r="G48" s="2">
        <v>59</v>
      </c>
      <c r="H48" s="2">
        <v>97</v>
      </c>
      <c r="I48" s="2" t="s">
        <v>70</v>
      </c>
      <c r="J48" s="2">
        <v>0.5</v>
      </c>
      <c r="K48" s="7">
        <v>2</v>
      </c>
      <c r="L48" s="2">
        <v>2400</v>
      </c>
      <c r="M48" s="2">
        <v>2111</v>
      </c>
      <c r="N48" s="1" t="s">
        <v>347</v>
      </c>
    </row>
    <row r="49" spans="1:14" x14ac:dyDescent="0.2">
      <c r="A49" s="2">
        <v>405793</v>
      </c>
      <c r="B49" s="2">
        <v>9</v>
      </c>
      <c r="C49" s="2" t="str">
        <f t="shared" si="0"/>
        <v>4057939</v>
      </c>
      <c r="D49" s="3" t="s">
        <v>365</v>
      </c>
      <c r="E49" s="2">
        <v>302371</v>
      </c>
      <c r="F49" s="3" t="s">
        <v>297</v>
      </c>
      <c r="G49" s="2">
        <v>75</v>
      </c>
      <c r="H49" s="2">
        <v>97</v>
      </c>
      <c r="I49" s="2" t="s">
        <v>70</v>
      </c>
      <c r="J49" s="2">
        <v>0.5</v>
      </c>
      <c r="K49" s="7">
        <v>8</v>
      </c>
      <c r="L49" s="2">
        <v>2470</v>
      </c>
      <c r="M49" s="2">
        <v>2111</v>
      </c>
      <c r="N49" s="1" t="s">
        <v>364</v>
      </c>
    </row>
    <row r="50" spans="1:14" x14ac:dyDescent="0.2">
      <c r="A50" s="2">
        <v>404806</v>
      </c>
      <c r="B50" s="2">
        <v>9</v>
      </c>
      <c r="C50" s="2" t="str">
        <f t="shared" si="0"/>
        <v>4048069</v>
      </c>
      <c r="D50" s="3" t="s">
        <v>363</v>
      </c>
      <c r="E50" s="2">
        <v>302371</v>
      </c>
      <c r="F50" s="3" t="s">
        <v>297</v>
      </c>
      <c r="G50" s="2">
        <v>75</v>
      </c>
      <c r="H50" s="2">
        <v>97.3</v>
      </c>
      <c r="I50" s="2" t="s">
        <v>70</v>
      </c>
      <c r="J50" s="2">
        <v>0.5</v>
      </c>
      <c r="K50" s="7">
        <v>11</v>
      </c>
      <c r="L50" s="2">
        <v>2470</v>
      </c>
      <c r="M50" s="2">
        <v>2118</v>
      </c>
      <c r="N50" s="1" t="s">
        <v>362</v>
      </c>
    </row>
    <row r="51" spans="1:14" x14ac:dyDescent="0.2">
      <c r="A51" s="2">
        <v>405136</v>
      </c>
      <c r="B51" s="2">
        <v>9</v>
      </c>
      <c r="C51" s="2" t="str">
        <f t="shared" si="0"/>
        <v>4051369</v>
      </c>
      <c r="D51" s="3" t="s">
        <v>361</v>
      </c>
      <c r="E51" s="2">
        <v>302372</v>
      </c>
      <c r="F51" s="3" t="s">
        <v>296</v>
      </c>
      <c r="G51" s="2">
        <v>7.6</v>
      </c>
      <c r="H51" s="2">
        <v>97.3</v>
      </c>
      <c r="I51" s="2" t="s">
        <v>70</v>
      </c>
      <c r="J51" s="2">
        <v>0.5</v>
      </c>
      <c r="K51" s="7">
        <v>18</v>
      </c>
      <c r="L51" s="2">
        <v>2470</v>
      </c>
      <c r="M51" s="2">
        <v>2112</v>
      </c>
      <c r="N51" s="1" t="s">
        <v>360</v>
      </c>
    </row>
    <row r="52" spans="1:14" x14ac:dyDescent="0.2">
      <c r="A52" s="2">
        <v>301112</v>
      </c>
      <c r="B52" s="2">
        <v>9</v>
      </c>
      <c r="C52" s="2" t="str">
        <f t="shared" si="0"/>
        <v>3011129</v>
      </c>
      <c r="D52" s="3" t="s">
        <v>349</v>
      </c>
      <c r="E52" s="2">
        <v>302372</v>
      </c>
      <c r="F52" s="3" t="s">
        <v>296</v>
      </c>
      <c r="G52" s="2">
        <v>76</v>
      </c>
      <c r="H52" s="2">
        <v>97.3</v>
      </c>
      <c r="I52" s="2" t="s">
        <v>70</v>
      </c>
      <c r="J52" s="2">
        <v>0.5</v>
      </c>
      <c r="K52" s="7">
        <v>22</v>
      </c>
      <c r="L52" s="2">
        <v>2470</v>
      </c>
      <c r="M52" s="2">
        <v>2112</v>
      </c>
      <c r="N52" s="1" t="s">
        <v>321</v>
      </c>
    </row>
    <row r="53" spans="1:14" x14ac:dyDescent="0.2">
      <c r="A53" s="2">
        <v>405137</v>
      </c>
      <c r="B53" s="2">
        <v>9</v>
      </c>
      <c r="C53" s="2" t="str">
        <f t="shared" si="0"/>
        <v>4051379</v>
      </c>
      <c r="D53" s="3" t="s">
        <v>348</v>
      </c>
      <c r="E53" s="2">
        <v>302372</v>
      </c>
      <c r="F53" s="3" t="s">
        <v>296</v>
      </c>
      <c r="G53" s="2">
        <v>76</v>
      </c>
      <c r="H53" s="2">
        <v>97.3</v>
      </c>
      <c r="I53" s="2" t="s">
        <v>70</v>
      </c>
      <c r="J53" s="2">
        <v>0.5</v>
      </c>
      <c r="K53" s="7">
        <v>22</v>
      </c>
      <c r="L53" s="2">
        <v>2470</v>
      </c>
      <c r="M53" s="2">
        <v>2118</v>
      </c>
      <c r="N53" s="1" t="s">
        <v>359</v>
      </c>
    </row>
    <row r="54" spans="1:14" x14ac:dyDescent="0.2">
      <c r="A54" s="2">
        <v>302416</v>
      </c>
      <c r="C54" s="2" t="str">
        <f t="shared" si="0"/>
        <v>302416</v>
      </c>
      <c r="D54" s="3" t="s">
        <v>358</v>
      </c>
      <c r="E54" s="2">
        <v>303479</v>
      </c>
      <c r="F54" s="3" t="s">
        <v>246</v>
      </c>
      <c r="G54" s="2">
        <v>59</v>
      </c>
      <c r="H54" s="2">
        <v>97</v>
      </c>
      <c r="I54" s="2" t="s">
        <v>70</v>
      </c>
      <c r="J54" s="2">
        <v>0.5</v>
      </c>
      <c r="K54" s="7">
        <v>2</v>
      </c>
      <c r="L54" s="2">
        <v>2400</v>
      </c>
      <c r="M54" s="2">
        <v>2118</v>
      </c>
      <c r="N54" s="1" t="s">
        <v>347</v>
      </c>
    </row>
    <row r="55" spans="1:14" x14ac:dyDescent="0.2">
      <c r="A55" s="2">
        <v>404739</v>
      </c>
      <c r="C55" s="2" t="str">
        <f t="shared" si="0"/>
        <v>404739</v>
      </c>
      <c r="D55" s="3" t="s">
        <v>357</v>
      </c>
      <c r="E55" s="2">
        <v>303479</v>
      </c>
      <c r="F55" s="3" t="s">
        <v>246</v>
      </c>
      <c r="G55" s="2">
        <v>59</v>
      </c>
      <c r="H55" s="2">
        <v>97</v>
      </c>
      <c r="I55" s="2" t="s">
        <v>70</v>
      </c>
      <c r="J55" s="2">
        <v>0.5</v>
      </c>
      <c r="K55" s="7">
        <v>2</v>
      </c>
      <c r="L55" s="2">
        <v>2400</v>
      </c>
      <c r="M55" s="2">
        <v>2111</v>
      </c>
      <c r="N55" s="1" t="s">
        <v>347</v>
      </c>
    </row>
    <row r="56" spans="1:14" ht="15" x14ac:dyDescent="0.25">
      <c r="A56" s="20">
        <v>412138</v>
      </c>
      <c r="C56" s="2" t="str">
        <f t="shared" si="0"/>
        <v>412138</v>
      </c>
      <c r="D56" s="3" t="s">
        <v>356</v>
      </c>
      <c r="E56" s="2">
        <v>303468</v>
      </c>
      <c r="F56" s="3" t="s">
        <v>355</v>
      </c>
      <c r="G56" s="2">
        <v>73</v>
      </c>
      <c r="H56" s="2">
        <v>97</v>
      </c>
      <c r="I56" s="2" t="s">
        <v>70</v>
      </c>
      <c r="J56" s="2">
        <v>0.5</v>
      </c>
      <c r="K56" s="7">
        <v>8</v>
      </c>
      <c r="L56" s="2">
        <v>2400</v>
      </c>
      <c r="M56" s="2">
        <v>2111</v>
      </c>
      <c r="N56" s="1" t="s">
        <v>354</v>
      </c>
    </row>
    <row r="57" spans="1:14" ht="15" x14ac:dyDescent="0.25">
      <c r="A57" s="19">
        <v>409701</v>
      </c>
      <c r="C57" s="2" t="str">
        <f t="shared" si="0"/>
        <v>409701</v>
      </c>
      <c r="D57" s="3" t="s">
        <v>353</v>
      </c>
      <c r="E57" s="30">
        <v>303479</v>
      </c>
      <c r="F57" s="29" t="s">
        <v>246</v>
      </c>
      <c r="G57" s="2">
        <v>75</v>
      </c>
      <c r="H57" s="2">
        <v>97</v>
      </c>
      <c r="I57" s="2" t="s">
        <v>70</v>
      </c>
      <c r="J57" s="2">
        <v>0.5</v>
      </c>
      <c r="K57" s="7">
        <v>8</v>
      </c>
      <c r="L57" s="2">
        <v>2820</v>
      </c>
      <c r="M57" s="2">
        <v>2118</v>
      </c>
      <c r="N57" s="1" t="s">
        <v>352</v>
      </c>
    </row>
    <row r="58" spans="1:14" x14ac:dyDescent="0.2">
      <c r="A58" s="2">
        <v>304141</v>
      </c>
      <c r="C58" s="2" t="str">
        <f t="shared" si="0"/>
        <v>304141</v>
      </c>
      <c r="D58" s="3" t="s">
        <v>351</v>
      </c>
      <c r="E58" s="30">
        <v>303479</v>
      </c>
      <c r="F58" s="29" t="s">
        <v>246</v>
      </c>
      <c r="G58" s="2">
        <v>72</v>
      </c>
      <c r="H58" s="2">
        <v>97</v>
      </c>
      <c r="I58" s="2" t="s">
        <v>70</v>
      </c>
      <c r="J58" s="2">
        <v>0.5</v>
      </c>
      <c r="K58" s="7">
        <v>8</v>
      </c>
      <c r="L58" s="2">
        <v>2820</v>
      </c>
      <c r="M58" s="2">
        <v>2118</v>
      </c>
      <c r="N58" s="1" t="s">
        <v>350</v>
      </c>
    </row>
    <row r="59" spans="1:14" x14ac:dyDescent="0.2">
      <c r="A59" s="2">
        <v>301112</v>
      </c>
      <c r="C59" s="2" t="str">
        <f t="shared" si="0"/>
        <v>301112</v>
      </c>
      <c r="D59" s="3" t="s">
        <v>349</v>
      </c>
      <c r="E59" s="2">
        <v>303453</v>
      </c>
      <c r="F59" s="3" t="s">
        <v>71</v>
      </c>
      <c r="G59" s="2">
        <v>76</v>
      </c>
      <c r="H59" s="2">
        <v>97.3</v>
      </c>
      <c r="I59" s="2" t="s">
        <v>70</v>
      </c>
      <c r="J59" s="2">
        <v>0.5</v>
      </c>
      <c r="K59" s="7">
        <v>22</v>
      </c>
      <c r="L59" s="2">
        <v>2820</v>
      </c>
      <c r="M59" s="2">
        <v>2111</v>
      </c>
      <c r="N59" s="1" t="s">
        <v>347</v>
      </c>
    </row>
    <row r="60" spans="1:14" x14ac:dyDescent="0.2">
      <c r="A60" s="2">
        <v>405137</v>
      </c>
      <c r="C60" s="2" t="str">
        <f t="shared" si="0"/>
        <v>405137</v>
      </c>
      <c r="D60" s="3" t="s">
        <v>348</v>
      </c>
      <c r="E60" s="2">
        <v>303453</v>
      </c>
      <c r="F60" s="3" t="s">
        <v>71</v>
      </c>
      <c r="G60" s="2">
        <v>76</v>
      </c>
      <c r="H60" s="2">
        <v>97.3</v>
      </c>
      <c r="I60" s="2" t="s">
        <v>70</v>
      </c>
      <c r="J60" s="2">
        <v>0.5</v>
      </c>
      <c r="K60" s="7">
        <v>22</v>
      </c>
      <c r="L60" s="2">
        <v>2820</v>
      </c>
      <c r="M60" s="2">
        <v>2111</v>
      </c>
      <c r="N60" s="1" t="s">
        <v>347</v>
      </c>
    </row>
    <row r="61" spans="1:14" x14ac:dyDescent="0.2">
      <c r="A61" s="2">
        <v>405130</v>
      </c>
      <c r="C61" s="2" t="str">
        <f t="shared" si="0"/>
        <v>405130</v>
      </c>
      <c r="D61" s="3" t="s">
        <v>346</v>
      </c>
      <c r="E61" s="2">
        <v>303467</v>
      </c>
      <c r="F61" s="3" t="s">
        <v>344</v>
      </c>
      <c r="G61" s="2">
        <v>59</v>
      </c>
      <c r="H61" s="2">
        <v>97</v>
      </c>
      <c r="I61" s="2" t="s">
        <v>70</v>
      </c>
      <c r="J61" s="2">
        <v>0.5</v>
      </c>
      <c r="K61" s="7">
        <v>2</v>
      </c>
      <c r="L61" s="2">
        <v>2400</v>
      </c>
      <c r="M61" s="2">
        <v>2118</v>
      </c>
      <c r="N61" s="1" t="s">
        <v>341</v>
      </c>
    </row>
    <row r="62" spans="1:14" x14ac:dyDescent="0.2">
      <c r="A62" s="2">
        <v>300004</v>
      </c>
      <c r="C62" s="2" t="str">
        <f t="shared" si="0"/>
        <v>300004</v>
      </c>
      <c r="D62" s="3" t="s">
        <v>345</v>
      </c>
      <c r="E62" s="2">
        <v>303467</v>
      </c>
      <c r="F62" s="3" t="s">
        <v>344</v>
      </c>
      <c r="G62" s="2">
        <v>59</v>
      </c>
      <c r="H62" s="2">
        <v>97</v>
      </c>
      <c r="I62" s="2" t="s">
        <v>70</v>
      </c>
      <c r="J62" s="2">
        <v>0.5</v>
      </c>
      <c r="K62" s="7">
        <v>2</v>
      </c>
      <c r="L62" s="2">
        <v>2400</v>
      </c>
      <c r="M62" s="2">
        <v>2118</v>
      </c>
      <c r="N62" s="1" t="s">
        <v>341</v>
      </c>
    </row>
    <row r="63" spans="1:14" ht="14.25" x14ac:dyDescent="0.2">
      <c r="A63" s="31">
        <v>305002</v>
      </c>
      <c r="C63" s="2" t="str">
        <f t="shared" si="0"/>
        <v>305002</v>
      </c>
      <c r="D63" s="3" t="s">
        <v>343</v>
      </c>
      <c r="E63" s="2">
        <v>304961</v>
      </c>
      <c r="F63" s="3" t="s">
        <v>339</v>
      </c>
      <c r="G63" s="2">
        <v>59</v>
      </c>
      <c r="H63" s="2">
        <v>97</v>
      </c>
      <c r="I63" s="2" t="s">
        <v>70</v>
      </c>
      <c r="J63" s="2">
        <v>0.5</v>
      </c>
      <c r="K63" s="7">
        <v>2</v>
      </c>
      <c r="L63" s="2">
        <v>2400</v>
      </c>
      <c r="M63" s="2">
        <v>2118</v>
      </c>
      <c r="N63" s="1" t="s">
        <v>338</v>
      </c>
    </row>
    <row r="64" spans="1:14" x14ac:dyDescent="0.2">
      <c r="A64" s="2">
        <v>303770</v>
      </c>
      <c r="C64" s="2" t="str">
        <f t="shared" si="0"/>
        <v>303770</v>
      </c>
      <c r="D64" s="3" t="s">
        <v>342</v>
      </c>
      <c r="E64" s="2">
        <v>303479</v>
      </c>
      <c r="F64" s="3" t="s">
        <v>246</v>
      </c>
      <c r="G64" s="2">
        <v>59</v>
      </c>
      <c r="H64" s="2">
        <v>97</v>
      </c>
      <c r="I64" s="2" t="s">
        <v>70</v>
      </c>
      <c r="J64" s="2">
        <v>0.5</v>
      </c>
      <c r="K64" s="7">
        <v>2</v>
      </c>
      <c r="L64" s="2">
        <v>2400</v>
      </c>
      <c r="M64" s="2">
        <v>2118</v>
      </c>
      <c r="N64" s="1" t="s">
        <v>341</v>
      </c>
    </row>
    <row r="65" spans="1:14" x14ac:dyDescent="0.2">
      <c r="A65" s="2">
        <v>305003</v>
      </c>
      <c r="C65" s="2" t="str">
        <f t="shared" si="0"/>
        <v>305003</v>
      </c>
      <c r="D65" s="3" t="s">
        <v>340</v>
      </c>
      <c r="E65" s="2">
        <v>304961</v>
      </c>
      <c r="F65" s="3" t="s">
        <v>339</v>
      </c>
      <c r="G65" s="2">
        <v>75</v>
      </c>
      <c r="H65" s="2">
        <v>97</v>
      </c>
      <c r="I65" s="2" t="s">
        <v>70</v>
      </c>
      <c r="J65" s="2">
        <v>0.5</v>
      </c>
      <c r="K65" s="7">
        <v>8</v>
      </c>
      <c r="L65" s="2">
        <v>2820</v>
      </c>
      <c r="M65" s="2">
        <v>2118</v>
      </c>
      <c r="N65" s="1" t="s">
        <v>338</v>
      </c>
    </row>
    <row r="66" spans="1:14" x14ac:dyDescent="0.2">
      <c r="A66" s="2">
        <v>303771</v>
      </c>
      <c r="C66" s="2" t="str">
        <f t="shared" si="0"/>
        <v>303771</v>
      </c>
      <c r="D66" s="3" t="s">
        <v>337</v>
      </c>
      <c r="E66" s="30">
        <v>303479</v>
      </c>
      <c r="F66" s="29" t="s">
        <v>246</v>
      </c>
      <c r="G66" s="2">
        <v>75</v>
      </c>
      <c r="H66" s="2">
        <v>97</v>
      </c>
      <c r="I66" s="2" t="s">
        <v>70</v>
      </c>
      <c r="J66" s="2">
        <v>0.5</v>
      </c>
      <c r="K66" s="7">
        <v>8</v>
      </c>
      <c r="L66" s="2">
        <v>2820</v>
      </c>
      <c r="M66" s="2">
        <v>2118</v>
      </c>
      <c r="N66" s="1" t="s">
        <v>336</v>
      </c>
    </row>
    <row r="67" spans="1:14" x14ac:dyDescent="0.2">
      <c r="A67" s="2">
        <v>409700</v>
      </c>
      <c r="C67" s="2" t="str">
        <f t="shared" ref="C67:C130" si="1">+CONCATENATE(A67,B67)</f>
        <v>409700</v>
      </c>
      <c r="D67" s="3" t="s">
        <v>335</v>
      </c>
      <c r="E67" s="30">
        <v>303479</v>
      </c>
      <c r="F67" s="29" t="s">
        <v>246</v>
      </c>
      <c r="G67" s="2">
        <v>75</v>
      </c>
      <c r="H67" s="2">
        <v>97</v>
      </c>
      <c r="I67" s="2" t="s">
        <v>70</v>
      </c>
      <c r="J67" s="2">
        <v>0.5</v>
      </c>
      <c r="K67" s="7">
        <v>8</v>
      </c>
      <c r="L67" s="2">
        <v>2820</v>
      </c>
      <c r="M67" s="2">
        <v>2113</v>
      </c>
      <c r="N67" s="1" t="s">
        <v>312</v>
      </c>
    </row>
    <row r="68" spans="1:14" x14ac:dyDescent="0.2">
      <c r="A68" s="2">
        <v>409700</v>
      </c>
      <c r="B68" s="2" t="s">
        <v>10</v>
      </c>
      <c r="C68" s="2" t="str">
        <f t="shared" si="1"/>
        <v>409700b</v>
      </c>
      <c r="D68" s="3" t="s">
        <v>335</v>
      </c>
      <c r="E68" s="30">
        <v>303479</v>
      </c>
      <c r="F68" s="29" t="s">
        <v>246</v>
      </c>
      <c r="G68" s="2">
        <v>75</v>
      </c>
      <c r="H68" s="2">
        <v>97</v>
      </c>
      <c r="I68" s="2" t="s">
        <v>70</v>
      </c>
      <c r="J68" s="2">
        <v>0.5</v>
      </c>
      <c r="K68" s="7">
        <v>8</v>
      </c>
      <c r="L68" s="2">
        <v>2820</v>
      </c>
      <c r="M68" s="2">
        <v>2118</v>
      </c>
      <c r="N68" s="1" t="s">
        <v>326</v>
      </c>
    </row>
    <row r="69" spans="1:14" x14ac:dyDescent="0.2">
      <c r="A69" s="2">
        <v>303774</v>
      </c>
      <c r="C69" s="2" t="str">
        <f t="shared" si="1"/>
        <v>303774</v>
      </c>
      <c r="D69" s="3" t="s">
        <v>332</v>
      </c>
      <c r="E69" s="2">
        <v>303452</v>
      </c>
      <c r="F69" s="3" t="s">
        <v>73</v>
      </c>
      <c r="G69" s="2">
        <v>75</v>
      </c>
      <c r="H69" s="2">
        <v>97.3</v>
      </c>
      <c r="I69" s="2" t="s">
        <v>70</v>
      </c>
      <c r="J69" s="2">
        <v>0.5</v>
      </c>
      <c r="K69" s="7">
        <v>11</v>
      </c>
      <c r="L69" s="2">
        <v>2820</v>
      </c>
      <c r="M69" s="2">
        <v>2118</v>
      </c>
      <c r="N69" s="1" t="s">
        <v>321</v>
      </c>
    </row>
    <row r="70" spans="1:14" x14ac:dyDescent="0.2">
      <c r="A70" s="2">
        <v>303774</v>
      </c>
      <c r="B70" s="2" t="s">
        <v>334</v>
      </c>
      <c r="C70" s="2" t="str">
        <f t="shared" si="1"/>
        <v xml:space="preserve">303774e </v>
      </c>
      <c r="D70" s="3" t="s">
        <v>332</v>
      </c>
      <c r="E70" s="2">
        <v>303452</v>
      </c>
      <c r="F70" s="3" t="s">
        <v>73</v>
      </c>
      <c r="G70" s="2">
        <v>75</v>
      </c>
      <c r="H70" s="2">
        <v>97.3</v>
      </c>
      <c r="I70" s="2" t="s">
        <v>70</v>
      </c>
      <c r="J70" s="2">
        <v>0.5</v>
      </c>
      <c r="K70" s="7">
        <v>11</v>
      </c>
      <c r="L70" s="2">
        <v>2820</v>
      </c>
      <c r="M70" s="2">
        <v>2118</v>
      </c>
      <c r="N70" s="1" t="s">
        <v>333</v>
      </c>
    </row>
    <row r="71" spans="1:14" x14ac:dyDescent="0.2">
      <c r="A71" s="2">
        <v>303774</v>
      </c>
      <c r="B71" s="2" t="s">
        <v>200</v>
      </c>
      <c r="C71" s="2" t="str">
        <f t="shared" si="1"/>
        <v>303774x</v>
      </c>
      <c r="D71" s="3" t="s">
        <v>332</v>
      </c>
      <c r="E71" s="26">
        <v>304729</v>
      </c>
      <c r="F71" t="s">
        <v>331</v>
      </c>
      <c r="G71" s="2">
        <v>75</v>
      </c>
      <c r="H71" s="2">
        <v>97.3</v>
      </c>
      <c r="I71" s="2" t="s">
        <v>70</v>
      </c>
      <c r="J71" s="2">
        <v>0.5</v>
      </c>
      <c r="K71" s="7">
        <v>11</v>
      </c>
      <c r="L71" s="2">
        <v>2820</v>
      </c>
      <c r="M71" s="2">
        <v>2118</v>
      </c>
      <c r="N71" s="1" t="s">
        <v>314</v>
      </c>
    </row>
    <row r="72" spans="1:14" x14ac:dyDescent="0.2">
      <c r="A72" s="28">
        <v>409653</v>
      </c>
      <c r="C72" s="2" t="str">
        <f t="shared" si="1"/>
        <v>409653</v>
      </c>
      <c r="D72" s="3" t="s">
        <v>330</v>
      </c>
      <c r="E72" s="2">
        <v>303452</v>
      </c>
      <c r="F72" s="3" t="s">
        <v>73</v>
      </c>
      <c r="G72" s="2">
        <v>75</v>
      </c>
      <c r="H72" s="2">
        <v>97.3</v>
      </c>
      <c r="I72" s="2" t="s">
        <v>70</v>
      </c>
      <c r="J72" s="2">
        <v>0.5</v>
      </c>
      <c r="K72" s="7">
        <v>11</v>
      </c>
      <c r="L72" s="2">
        <v>2820</v>
      </c>
      <c r="M72" s="2">
        <v>2113</v>
      </c>
      <c r="N72" s="1" t="s">
        <v>312</v>
      </c>
    </row>
    <row r="73" spans="1:14" x14ac:dyDescent="0.2">
      <c r="A73" s="28">
        <v>409653</v>
      </c>
      <c r="B73" s="2" t="s">
        <v>10</v>
      </c>
      <c r="C73" s="2" t="str">
        <f t="shared" si="1"/>
        <v>409653b</v>
      </c>
      <c r="D73" s="3" t="s">
        <v>330</v>
      </c>
      <c r="E73" s="2">
        <v>303452</v>
      </c>
      <c r="F73" s="3" t="s">
        <v>73</v>
      </c>
      <c r="G73" s="2">
        <v>75</v>
      </c>
      <c r="H73" s="2">
        <v>97.3</v>
      </c>
      <c r="I73" s="2" t="s">
        <v>70</v>
      </c>
      <c r="J73" s="2">
        <v>0.5</v>
      </c>
      <c r="K73" s="7">
        <v>11</v>
      </c>
      <c r="L73" s="2">
        <v>2820</v>
      </c>
      <c r="M73" s="2">
        <v>2118</v>
      </c>
      <c r="N73" s="1" t="s">
        <v>326</v>
      </c>
    </row>
    <row r="74" spans="1:14" x14ac:dyDescent="0.2">
      <c r="A74" s="2">
        <v>303772</v>
      </c>
      <c r="C74" s="2" t="str">
        <f t="shared" si="1"/>
        <v>303772</v>
      </c>
      <c r="D74" s="3" t="s">
        <v>329</v>
      </c>
      <c r="E74" s="2">
        <v>303452</v>
      </c>
      <c r="F74" s="3" t="s">
        <v>73</v>
      </c>
      <c r="G74" s="2">
        <v>75</v>
      </c>
      <c r="H74" s="2">
        <v>96.5</v>
      </c>
      <c r="I74" s="2" t="s">
        <v>70</v>
      </c>
      <c r="J74" s="2">
        <v>0.5</v>
      </c>
      <c r="K74" s="7">
        <v>16</v>
      </c>
      <c r="L74" s="2">
        <v>2820</v>
      </c>
      <c r="M74" s="2">
        <v>2118</v>
      </c>
      <c r="N74" s="1" t="s">
        <v>321</v>
      </c>
    </row>
    <row r="75" spans="1:14" x14ac:dyDescent="0.2">
      <c r="A75" s="2">
        <v>303773</v>
      </c>
      <c r="C75" s="2" t="str">
        <f t="shared" si="1"/>
        <v>303773</v>
      </c>
      <c r="D75" s="3" t="s">
        <v>328</v>
      </c>
      <c r="E75" s="2">
        <v>303452</v>
      </c>
      <c r="F75" s="3" t="s">
        <v>73</v>
      </c>
      <c r="G75" s="2">
        <v>76.5</v>
      </c>
      <c r="H75" s="2">
        <v>97.3</v>
      </c>
      <c r="I75" s="2" t="s">
        <v>70</v>
      </c>
      <c r="J75" s="2">
        <v>0.5</v>
      </c>
      <c r="K75" s="7">
        <v>18</v>
      </c>
      <c r="L75" s="2">
        <v>2820</v>
      </c>
      <c r="M75" s="2">
        <v>2118</v>
      </c>
      <c r="N75" s="1" t="s">
        <v>321</v>
      </c>
    </row>
    <row r="76" spans="1:14" x14ac:dyDescent="0.2">
      <c r="A76" s="2">
        <v>303773</v>
      </c>
      <c r="B76" s="2" t="s">
        <v>200</v>
      </c>
      <c r="C76" s="2" t="str">
        <f t="shared" si="1"/>
        <v>303773x</v>
      </c>
      <c r="D76" s="3" t="s">
        <v>328</v>
      </c>
      <c r="E76" s="26">
        <v>304730</v>
      </c>
      <c r="F76" t="s">
        <v>315</v>
      </c>
      <c r="G76" s="2">
        <v>76.5</v>
      </c>
      <c r="H76" s="2">
        <v>97.3</v>
      </c>
      <c r="I76" s="2" t="s">
        <v>70</v>
      </c>
      <c r="J76" s="2">
        <v>0.5</v>
      </c>
      <c r="K76" s="7">
        <v>18</v>
      </c>
      <c r="L76" s="2">
        <v>2820</v>
      </c>
      <c r="M76" s="2">
        <v>2118</v>
      </c>
      <c r="N76" s="1" t="s">
        <v>314</v>
      </c>
    </row>
    <row r="77" spans="1:14" x14ac:dyDescent="0.2">
      <c r="A77" s="2">
        <v>409102</v>
      </c>
      <c r="C77" s="2" t="str">
        <f t="shared" si="1"/>
        <v>409102</v>
      </c>
      <c r="D77" s="3" t="s">
        <v>327</v>
      </c>
      <c r="E77" s="2">
        <v>303452</v>
      </c>
      <c r="F77" s="3" t="s">
        <v>73</v>
      </c>
      <c r="G77" s="2">
        <v>76.5</v>
      </c>
      <c r="H77" s="2">
        <v>97.3</v>
      </c>
      <c r="I77" s="2" t="s">
        <v>70</v>
      </c>
      <c r="J77" s="2">
        <v>0.5</v>
      </c>
      <c r="K77" s="7">
        <v>18</v>
      </c>
      <c r="L77" s="2">
        <v>2820</v>
      </c>
      <c r="M77" s="2">
        <v>2113</v>
      </c>
      <c r="N77" s="1" t="s">
        <v>312</v>
      </c>
    </row>
    <row r="78" spans="1:14" x14ac:dyDescent="0.2">
      <c r="A78" s="2">
        <v>409102</v>
      </c>
      <c r="B78" s="2" t="s">
        <v>10</v>
      </c>
      <c r="C78" s="2" t="str">
        <f t="shared" si="1"/>
        <v>409102b</v>
      </c>
      <c r="D78" s="3" t="s">
        <v>327</v>
      </c>
      <c r="E78" s="2">
        <v>303452</v>
      </c>
      <c r="F78" s="3" t="s">
        <v>73</v>
      </c>
      <c r="G78" s="2">
        <v>76.5</v>
      </c>
      <c r="H78" s="2">
        <v>97.3</v>
      </c>
      <c r="I78" s="2" t="s">
        <v>70</v>
      </c>
      <c r="J78" s="2">
        <v>0.5</v>
      </c>
      <c r="K78" s="7">
        <v>18</v>
      </c>
      <c r="L78" s="2">
        <v>2820</v>
      </c>
      <c r="M78" s="2">
        <v>2118</v>
      </c>
      <c r="N78" s="1" t="s">
        <v>326</v>
      </c>
    </row>
    <row r="79" spans="1:14" x14ac:dyDescent="0.2">
      <c r="A79" s="2">
        <v>405135</v>
      </c>
      <c r="C79" s="2" t="str">
        <f t="shared" si="1"/>
        <v>405135</v>
      </c>
      <c r="D79" s="3" t="s">
        <v>325</v>
      </c>
      <c r="E79" s="2">
        <v>303473</v>
      </c>
      <c r="F79" s="3" t="s">
        <v>322</v>
      </c>
      <c r="G79" s="2">
        <v>76</v>
      </c>
      <c r="H79" s="2">
        <v>97.3</v>
      </c>
      <c r="I79" s="2" t="s">
        <v>70</v>
      </c>
      <c r="J79" s="2">
        <v>0.5</v>
      </c>
      <c r="K79" s="7">
        <v>22</v>
      </c>
      <c r="L79" s="2">
        <v>2820</v>
      </c>
      <c r="M79" s="2">
        <v>2111</v>
      </c>
      <c r="N79" s="1" t="s">
        <v>324</v>
      </c>
    </row>
    <row r="80" spans="1:14" x14ac:dyDescent="0.2">
      <c r="A80" s="2">
        <v>301109</v>
      </c>
      <c r="C80" s="2" t="str">
        <f t="shared" si="1"/>
        <v>301109</v>
      </c>
      <c r="D80" s="3" t="s">
        <v>323</v>
      </c>
      <c r="E80" s="2">
        <v>303473</v>
      </c>
      <c r="F80" s="3" t="s">
        <v>322</v>
      </c>
      <c r="G80" s="2">
        <v>76</v>
      </c>
      <c r="H80" s="2">
        <v>97.3</v>
      </c>
      <c r="I80" s="2" t="s">
        <v>70</v>
      </c>
      <c r="J80" s="2">
        <v>0.5</v>
      </c>
      <c r="K80" s="7">
        <v>22</v>
      </c>
      <c r="L80" s="2">
        <v>2820</v>
      </c>
      <c r="M80" s="2">
        <v>2118</v>
      </c>
      <c r="N80" s="1" t="s">
        <v>321</v>
      </c>
    </row>
    <row r="81" spans="1:14" x14ac:dyDescent="0.2">
      <c r="A81" s="2">
        <v>303775</v>
      </c>
      <c r="C81" s="2" t="str">
        <f t="shared" si="1"/>
        <v>303775</v>
      </c>
      <c r="D81" s="3" t="s">
        <v>316</v>
      </c>
      <c r="E81" s="2">
        <v>303453</v>
      </c>
      <c r="F81" s="3" t="s">
        <v>71</v>
      </c>
      <c r="G81" s="2">
        <v>76</v>
      </c>
      <c r="H81" s="2">
        <v>97.3</v>
      </c>
      <c r="I81" s="2" t="s">
        <v>70</v>
      </c>
      <c r="J81" s="2">
        <v>0.5</v>
      </c>
      <c r="K81" s="7">
        <v>22</v>
      </c>
      <c r="L81" s="2">
        <v>2820</v>
      </c>
      <c r="M81" s="2">
        <v>2118</v>
      </c>
      <c r="N81" s="1" t="s">
        <v>321</v>
      </c>
    </row>
    <row r="82" spans="1:14" x14ac:dyDescent="0.2">
      <c r="A82" s="2">
        <v>303775</v>
      </c>
      <c r="B82" s="2" t="s">
        <v>2</v>
      </c>
      <c r="C82" s="2" t="str">
        <f t="shared" si="1"/>
        <v>303775a</v>
      </c>
      <c r="D82" s="3" t="s">
        <v>316</v>
      </c>
      <c r="E82" s="2">
        <v>303453</v>
      </c>
      <c r="F82" s="3" t="s">
        <v>71</v>
      </c>
      <c r="G82" s="2">
        <v>76</v>
      </c>
      <c r="H82" s="2">
        <v>97.3</v>
      </c>
      <c r="I82" s="2" t="s">
        <v>70</v>
      </c>
      <c r="J82" s="2">
        <v>0.5</v>
      </c>
      <c r="K82" s="7">
        <v>22</v>
      </c>
      <c r="L82" s="2">
        <v>2820</v>
      </c>
      <c r="M82" s="2">
        <v>2118</v>
      </c>
      <c r="N82" s="1" t="s">
        <v>320</v>
      </c>
    </row>
    <row r="83" spans="1:14" ht="15.75" x14ac:dyDescent="0.25">
      <c r="A83" s="2">
        <v>304871</v>
      </c>
      <c r="C83" s="2" t="str">
        <f t="shared" si="1"/>
        <v>304871</v>
      </c>
      <c r="D83" s="3" t="s">
        <v>319</v>
      </c>
      <c r="E83" s="2">
        <v>304472</v>
      </c>
      <c r="F83" s="27" t="s">
        <v>318</v>
      </c>
      <c r="G83" s="2">
        <v>76</v>
      </c>
      <c r="H83" s="2">
        <v>97.3</v>
      </c>
      <c r="I83" s="2" t="s">
        <v>70</v>
      </c>
      <c r="J83" s="2">
        <v>0.5</v>
      </c>
      <c r="K83" s="7">
        <v>24</v>
      </c>
      <c r="L83" s="2">
        <v>2820</v>
      </c>
      <c r="M83" s="2">
        <v>2118</v>
      </c>
      <c r="N83" s="1" t="s">
        <v>317</v>
      </c>
    </row>
    <row r="84" spans="1:14" x14ac:dyDescent="0.2">
      <c r="A84" s="2">
        <v>303775</v>
      </c>
      <c r="B84" s="2" t="s">
        <v>200</v>
      </c>
      <c r="C84" s="2" t="str">
        <f t="shared" si="1"/>
        <v>303775x</v>
      </c>
      <c r="D84" s="3" t="s">
        <v>316</v>
      </c>
      <c r="E84" s="26">
        <v>304730</v>
      </c>
      <c r="F84" t="s">
        <v>315</v>
      </c>
      <c r="G84" s="2">
        <v>76</v>
      </c>
      <c r="H84" s="2">
        <v>97.3</v>
      </c>
      <c r="I84" s="2" t="s">
        <v>70</v>
      </c>
      <c r="J84" s="2">
        <v>0.5</v>
      </c>
      <c r="K84" s="7">
        <v>22</v>
      </c>
      <c r="L84" s="2">
        <v>2820</v>
      </c>
      <c r="M84" s="2">
        <v>2118</v>
      </c>
      <c r="N84" s="1" t="s">
        <v>314</v>
      </c>
    </row>
    <row r="85" spans="1:14" x14ac:dyDescent="0.2">
      <c r="A85" s="2">
        <v>409100</v>
      </c>
      <c r="C85" s="2" t="str">
        <f t="shared" si="1"/>
        <v>409100</v>
      </c>
      <c r="D85" s="3" t="s">
        <v>313</v>
      </c>
      <c r="E85" s="2">
        <v>303453</v>
      </c>
      <c r="F85" s="3" t="s">
        <v>71</v>
      </c>
      <c r="G85" s="2">
        <v>76</v>
      </c>
      <c r="H85" s="2">
        <v>97.3</v>
      </c>
      <c r="I85" s="2" t="s">
        <v>70</v>
      </c>
      <c r="J85" s="2">
        <v>0.5</v>
      </c>
      <c r="K85" s="7">
        <v>22</v>
      </c>
      <c r="L85" s="2">
        <v>2820</v>
      </c>
      <c r="M85" s="2">
        <v>2113</v>
      </c>
      <c r="N85" s="1" t="s">
        <v>312</v>
      </c>
    </row>
    <row r="86" spans="1:14" x14ac:dyDescent="0.2">
      <c r="A86" s="2">
        <v>405335</v>
      </c>
      <c r="B86" s="2" t="s">
        <v>8</v>
      </c>
      <c r="C86" s="2" t="str">
        <f t="shared" si="1"/>
        <v>405335c</v>
      </c>
      <c r="D86" s="3" t="s">
        <v>310</v>
      </c>
      <c r="E86" s="2">
        <v>302520</v>
      </c>
      <c r="F86" s="3" t="s">
        <v>311</v>
      </c>
      <c r="G86" s="2">
        <v>63.5</v>
      </c>
      <c r="H86" s="2">
        <v>96.5</v>
      </c>
      <c r="I86" s="2" t="s">
        <v>70</v>
      </c>
      <c r="J86" s="2">
        <v>0.5</v>
      </c>
      <c r="K86" s="7">
        <v>5</v>
      </c>
      <c r="L86" s="2">
        <v>2400</v>
      </c>
      <c r="M86" s="2">
        <v>2118</v>
      </c>
      <c r="N86" s="1" t="s">
        <v>299</v>
      </c>
    </row>
    <row r="87" spans="1:14" x14ac:dyDescent="0.2">
      <c r="A87" s="2">
        <v>405335</v>
      </c>
      <c r="B87" s="2">
        <v>9</v>
      </c>
      <c r="C87" s="2" t="str">
        <f t="shared" si="1"/>
        <v>4053359</v>
      </c>
      <c r="D87" s="3" t="s">
        <v>310</v>
      </c>
      <c r="E87" s="2">
        <v>302520</v>
      </c>
      <c r="F87" s="3" t="s">
        <v>311</v>
      </c>
      <c r="G87" s="2">
        <v>63.5</v>
      </c>
      <c r="H87" s="2">
        <v>96.5</v>
      </c>
      <c r="I87" s="2" t="s">
        <v>70</v>
      </c>
      <c r="J87" s="2">
        <v>0.5</v>
      </c>
      <c r="K87" s="7">
        <v>5</v>
      </c>
      <c r="L87" s="2">
        <v>2400</v>
      </c>
      <c r="M87" s="2">
        <v>2118</v>
      </c>
      <c r="N87" s="1" t="s">
        <v>299</v>
      </c>
    </row>
    <row r="88" spans="1:14" x14ac:dyDescent="0.2">
      <c r="A88" s="2">
        <v>302533</v>
      </c>
      <c r="B88" s="2" t="s">
        <v>8</v>
      </c>
      <c r="C88" s="2" t="str">
        <f t="shared" si="1"/>
        <v>302533c</v>
      </c>
      <c r="D88" s="3" t="s">
        <v>309</v>
      </c>
      <c r="E88" s="2">
        <v>302520</v>
      </c>
      <c r="F88" s="3" t="s">
        <v>311</v>
      </c>
      <c r="G88" s="2">
        <v>59</v>
      </c>
      <c r="H88" s="2">
        <v>97</v>
      </c>
      <c r="I88" s="2" t="s">
        <v>70</v>
      </c>
      <c r="J88" s="2">
        <v>0.5</v>
      </c>
      <c r="K88" s="7">
        <v>2</v>
      </c>
      <c r="L88" s="2">
        <v>2400</v>
      </c>
      <c r="M88" s="2">
        <v>2118</v>
      </c>
      <c r="N88" s="1" t="s">
        <v>299</v>
      </c>
    </row>
    <row r="89" spans="1:14" x14ac:dyDescent="0.2">
      <c r="A89" s="2">
        <v>302533</v>
      </c>
      <c r="B89" s="2">
        <v>9</v>
      </c>
      <c r="C89" s="2" t="str">
        <f t="shared" si="1"/>
        <v>3025339</v>
      </c>
      <c r="D89" s="3" t="s">
        <v>309</v>
      </c>
      <c r="E89" s="2">
        <v>302520</v>
      </c>
      <c r="F89" s="3" t="s">
        <v>311</v>
      </c>
      <c r="G89" s="2">
        <v>59</v>
      </c>
      <c r="H89" s="2">
        <v>97</v>
      </c>
      <c r="I89" s="2" t="s">
        <v>70</v>
      </c>
      <c r="J89" s="2">
        <v>0.5</v>
      </c>
      <c r="K89" s="7">
        <v>2</v>
      </c>
      <c r="L89" s="2">
        <v>2400</v>
      </c>
      <c r="M89" s="2">
        <v>2118</v>
      </c>
      <c r="N89" s="1" t="s">
        <v>299</v>
      </c>
    </row>
    <row r="90" spans="1:14" x14ac:dyDescent="0.2">
      <c r="A90" s="2">
        <v>407840</v>
      </c>
      <c r="B90" s="2">
        <v>9</v>
      </c>
      <c r="C90" s="2" t="str">
        <f t="shared" si="1"/>
        <v>4078409</v>
      </c>
      <c r="D90" s="3" t="s">
        <v>308</v>
      </c>
      <c r="E90" s="2">
        <v>302371</v>
      </c>
      <c r="F90" s="3" t="s">
        <v>297</v>
      </c>
      <c r="G90" s="2">
        <v>75</v>
      </c>
      <c r="H90" s="2">
        <v>96.5</v>
      </c>
      <c r="I90" s="2" t="s">
        <v>70</v>
      </c>
      <c r="J90" s="2">
        <v>0.5</v>
      </c>
      <c r="K90" s="7">
        <v>8</v>
      </c>
      <c r="L90" s="2">
        <v>2470</v>
      </c>
      <c r="M90" s="2">
        <v>2118</v>
      </c>
      <c r="N90" s="1" t="s">
        <v>299</v>
      </c>
    </row>
    <row r="91" spans="1:14" x14ac:dyDescent="0.2">
      <c r="A91" s="2">
        <v>405616</v>
      </c>
      <c r="B91" s="2">
        <v>9</v>
      </c>
      <c r="C91" s="2" t="str">
        <f t="shared" si="1"/>
        <v>4056169</v>
      </c>
      <c r="D91" s="3" t="s">
        <v>307</v>
      </c>
      <c r="E91" s="2">
        <v>302371</v>
      </c>
      <c r="F91" s="3" t="s">
        <v>297</v>
      </c>
      <c r="G91" s="2">
        <v>72</v>
      </c>
      <c r="H91" s="2">
        <v>96.5</v>
      </c>
      <c r="I91" s="2" t="s">
        <v>70</v>
      </c>
      <c r="J91" s="2">
        <v>0.5</v>
      </c>
      <c r="K91" s="7">
        <v>9</v>
      </c>
      <c r="L91" s="2">
        <v>2470</v>
      </c>
      <c r="M91" s="2">
        <v>2118</v>
      </c>
      <c r="N91" s="1" t="s">
        <v>299</v>
      </c>
    </row>
    <row r="92" spans="1:14" x14ac:dyDescent="0.2">
      <c r="A92" s="2">
        <v>405026</v>
      </c>
      <c r="B92" s="2">
        <v>9</v>
      </c>
      <c r="C92" s="2" t="str">
        <f t="shared" si="1"/>
        <v>4050269</v>
      </c>
      <c r="D92" s="3" t="s">
        <v>306</v>
      </c>
      <c r="E92" s="2">
        <v>302371</v>
      </c>
      <c r="F92" s="3" t="s">
        <v>297</v>
      </c>
      <c r="G92" s="2">
        <v>75</v>
      </c>
      <c r="H92" s="2">
        <v>97</v>
      </c>
      <c r="I92" s="2" t="s">
        <v>70</v>
      </c>
      <c r="J92" s="2">
        <v>0.5</v>
      </c>
      <c r="K92" s="7">
        <v>11</v>
      </c>
      <c r="L92" s="2">
        <v>2470</v>
      </c>
      <c r="M92" s="2">
        <v>2118</v>
      </c>
      <c r="N92" s="1" t="s">
        <v>299</v>
      </c>
    </row>
    <row r="93" spans="1:14" x14ac:dyDescent="0.2">
      <c r="A93" s="2">
        <v>405336</v>
      </c>
      <c r="B93" s="2">
        <v>9</v>
      </c>
      <c r="C93" s="2" t="str">
        <f t="shared" si="1"/>
        <v>4053369</v>
      </c>
      <c r="D93" s="3" t="s">
        <v>303</v>
      </c>
      <c r="E93" s="2">
        <v>302371</v>
      </c>
      <c r="F93" s="3" t="s">
        <v>297</v>
      </c>
      <c r="G93" s="2">
        <v>72</v>
      </c>
      <c r="H93" s="2">
        <v>96.5</v>
      </c>
      <c r="I93" s="2" t="s">
        <v>70</v>
      </c>
      <c r="J93" s="2">
        <v>0.5</v>
      </c>
      <c r="K93" s="7">
        <v>10</v>
      </c>
      <c r="L93" s="2">
        <v>2470</v>
      </c>
      <c r="M93" s="2">
        <v>2118</v>
      </c>
      <c r="N93" s="1" t="s">
        <v>299</v>
      </c>
    </row>
    <row r="94" spans="1:14" x14ac:dyDescent="0.2">
      <c r="A94" s="2">
        <v>405640</v>
      </c>
      <c r="B94" s="2">
        <v>9</v>
      </c>
      <c r="C94" s="2" t="str">
        <f t="shared" si="1"/>
        <v>4056409</v>
      </c>
      <c r="D94" s="3" t="s">
        <v>302</v>
      </c>
      <c r="E94" s="2">
        <v>302372</v>
      </c>
      <c r="F94" s="3" t="s">
        <v>296</v>
      </c>
      <c r="G94" s="2">
        <v>72</v>
      </c>
      <c r="H94" s="2">
        <v>96.5</v>
      </c>
      <c r="I94" s="2" t="s">
        <v>70</v>
      </c>
      <c r="J94" s="2">
        <v>0.5</v>
      </c>
      <c r="K94" s="7">
        <v>15</v>
      </c>
      <c r="L94" s="2">
        <v>2470</v>
      </c>
      <c r="M94" s="2">
        <v>2113</v>
      </c>
      <c r="N94" s="1" t="s">
        <v>215</v>
      </c>
    </row>
    <row r="95" spans="1:14" x14ac:dyDescent="0.2">
      <c r="A95" s="2">
        <v>405465</v>
      </c>
      <c r="B95" s="2">
        <v>9</v>
      </c>
      <c r="C95" s="2" t="str">
        <f t="shared" si="1"/>
        <v>4054659</v>
      </c>
      <c r="D95" s="3" t="s">
        <v>301</v>
      </c>
      <c r="E95" s="2">
        <v>302372</v>
      </c>
      <c r="F95" s="3" t="s">
        <v>296</v>
      </c>
      <c r="G95" s="2">
        <v>72</v>
      </c>
      <c r="H95" s="2">
        <v>96.5</v>
      </c>
      <c r="I95" s="2" t="s">
        <v>70</v>
      </c>
      <c r="J95" s="2">
        <v>0.5</v>
      </c>
      <c r="K95" s="7">
        <v>16</v>
      </c>
      <c r="L95" s="2">
        <v>2470</v>
      </c>
      <c r="M95" s="2">
        <v>2113</v>
      </c>
      <c r="N95" s="1" t="s">
        <v>215</v>
      </c>
    </row>
    <row r="96" spans="1:14" x14ac:dyDescent="0.2">
      <c r="A96" s="2">
        <v>405387</v>
      </c>
      <c r="B96" s="2">
        <v>9</v>
      </c>
      <c r="C96" s="2" t="str">
        <f t="shared" si="1"/>
        <v>4053879</v>
      </c>
      <c r="D96" s="3" t="s">
        <v>300</v>
      </c>
      <c r="E96" s="2">
        <v>302372</v>
      </c>
      <c r="F96" s="3" t="s">
        <v>296</v>
      </c>
      <c r="G96" s="2">
        <v>76.5</v>
      </c>
      <c r="H96" s="2">
        <v>97</v>
      </c>
      <c r="I96" s="2" t="s">
        <v>70</v>
      </c>
      <c r="J96" s="2">
        <v>0.5</v>
      </c>
      <c r="K96" s="7">
        <v>18</v>
      </c>
      <c r="L96" s="2">
        <v>2470</v>
      </c>
      <c r="M96" s="2">
        <v>2113</v>
      </c>
      <c r="N96" s="1" t="s">
        <v>215</v>
      </c>
    </row>
    <row r="97" spans="1:14" x14ac:dyDescent="0.2">
      <c r="A97" s="2">
        <v>405466</v>
      </c>
      <c r="B97" s="2">
        <v>9</v>
      </c>
      <c r="C97" s="2" t="str">
        <f t="shared" si="1"/>
        <v>4054669</v>
      </c>
      <c r="D97" s="3" t="s">
        <v>298</v>
      </c>
      <c r="E97" s="2">
        <v>302372</v>
      </c>
      <c r="F97" s="3" t="s">
        <v>296</v>
      </c>
      <c r="G97" s="2">
        <v>76</v>
      </c>
      <c r="H97" s="2">
        <v>97</v>
      </c>
      <c r="I97" s="2" t="s">
        <v>70</v>
      </c>
      <c r="J97" s="2">
        <v>0.5</v>
      </c>
      <c r="K97" s="7">
        <v>22</v>
      </c>
      <c r="L97" s="2">
        <v>2470</v>
      </c>
      <c r="M97" s="2">
        <v>2113</v>
      </c>
      <c r="N97" s="1" t="s">
        <v>215</v>
      </c>
    </row>
    <row r="98" spans="1:14" x14ac:dyDescent="0.2">
      <c r="A98" s="2">
        <v>405335</v>
      </c>
      <c r="C98" s="2" t="str">
        <f t="shared" si="1"/>
        <v>405335</v>
      </c>
      <c r="D98" s="3" t="s">
        <v>310</v>
      </c>
      <c r="E98" s="2">
        <v>303479</v>
      </c>
      <c r="F98" s="3" t="s">
        <v>246</v>
      </c>
      <c r="G98" s="2">
        <v>63.5</v>
      </c>
      <c r="H98" s="2">
        <v>96.5</v>
      </c>
      <c r="I98" s="2" t="s">
        <v>70</v>
      </c>
      <c r="J98" s="2">
        <v>0.5</v>
      </c>
      <c r="K98" s="7">
        <v>5</v>
      </c>
      <c r="L98" s="2">
        <v>2400</v>
      </c>
      <c r="M98" s="2">
        <v>2118</v>
      </c>
      <c r="N98" s="1" t="s">
        <v>299</v>
      </c>
    </row>
    <row r="99" spans="1:14" x14ac:dyDescent="0.2">
      <c r="A99" s="2">
        <v>302533</v>
      </c>
      <c r="C99" s="2" t="str">
        <f t="shared" si="1"/>
        <v>302533</v>
      </c>
      <c r="D99" s="3" t="s">
        <v>309</v>
      </c>
      <c r="E99" s="2">
        <v>303479</v>
      </c>
      <c r="F99" s="3" t="s">
        <v>246</v>
      </c>
      <c r="G99" s="2">
        <v>59</v>
      </c>
      <c r="H99" s="2">
        <v>97</v>
      </c>
      <c r="I99" s="2" t="s">
        <v>70</v>
      </c>
      <c r="J99" s="2">
        <v>0.5</v>
      </c>
      <c r="K99" s="7">
        <v>2</v>
      </c>
      <c r="L99" s="2">
        <v>2400</v>
      </c>
      <c r="M99" s="2">
        <v>2118</v>
      </c>
      <c r="N99" s="1" t="s">
        <v>299</v>
      </c>
    </row>
    <row r="100" spans="1:14" x14ac:dyDescent="0.2">
      <c r="A100" s="2">
        <v>407840</v>
      </c>
      <c r="C100" s="2" t="str">
        <f t="shared" si="1"/>
        <v>407840</v>
      </c>
      <c r="D100" s="3" t="s">
        <v>308</v>
      </c>
      <c r="E100" s="2">
        <v>303452</v>
      </c>
      <c r="F100" s="3" t="s">
        <v>73</v>
      </c>
      <c r="G100" s="2">
        <v>75</v>
      </c>
      <c r="H100" s="2">
        <v>96.5</v>
      </c>
      <c r="I100" s="2" t="s">
        <v>70</v>
      </c>
      <c r="J100" s="2">
        <v>0.5</v>
      </c>
      <c r="K100" s="7">
        <v>8</v>
      </c>
      <c r="L100" s="2">
        <v>2820</v>
      </c>
      <c r="M100" s="2">
        <v>2118</v>
      </c>
      <c r="N100" s="1" t="s">
        <v>299</v>
      </c>
    </row>
    <row r="101" spans="1:14" x14ac:dyDescent="0.2">
      <c r="A101" s="2">
        <v>405616</v>
      </c>
      <c r="C101" s="2" t="str">
        <f t="shared" si="1"/>
        <v>405616</v>
      </c>
      <c r="D101" s="3" t="s">
        <v>307</v>
      </c>
      <c r="E101" s="2">
        <v>303452</v>
      </c>
      <c r="F101" s="3" t="s">
        <v>73</v>
      </c>
      <c r="G101" s="2">
        <v>72</v>
      </c>
      <c r="H101" s="2">
        <v>96.5</v>
      </c>
      <c r="I101" s="2" t="s">
        <v>70</v>
      </c>
      <c r="J101" s="2">
        <v>0.5</v>
      </c>
      <c r="K101" s="7">
        <v>9</v>
      </c>
      <c r="L101" s="2">
        <v>2820</v>
      </c>
      <c r="M101" s="2">
        <v>2118</v>
      </c>
      <c r="N101" s="1" t="s">
        <v>299</v>
      </c>
    </row>
    <row r="102" spans="1:14" x14ac:dyDescent="0.2">
      <c r="A102" s="2">
        <v>405026</v>
      </c>
      <c r="C102" s="2" t="str">
        <f t="shared" si="1"/>
        <v>405026</v>
      </c>
      <c r="D102" s="3" t="s">
        <v>306</v>
      </c>
      <c r="E102" s="2">
        <v>303452</v>
      </c>
      <c r="F102" s="3" t="s">
        <v>73</v>
      </c>
      <c r="G102" s="2">
        <v>75</v>
      </c>
      <c r="H102" s="2">
        <v>97</v>
      </c>
      <c r="I102" s="2" t="s">
        <v>70</v>
      </c>
      <c r="J102" s="2">
        <v>0.5</v>
      </c>
      <c r="K102" s="7">
        <v>11</v>
      </c>
      <c r="L102" s="2">
        <v>2820</v>
      </c>
      <c r="M102" s="2">
        <v>2118</v>
      </c>
      <c r="N102" s="1" t="s">
        <v>299</v>
      </c>
    </row>
    <row r="103" spans="1:14" x14ac:dyDescent="0.2">
      <c r="A103" s="2">
        <v>405336</v>
      </c>
      <c r="C103" s="2" t="str">
        <f t="shared" si="1"/>
        <v>405336</v>
      </c>
      <c r="D103" s="3" t="s">
        <v>303</v>
      </c>
      <c r="E103" s="2">
        <v>303452</v>
      </c>
      <c r="F103" s="3" t="s">
        <v>73</v>
      </c>
      <c r="G103" s="2">
        <v>72</v>
      </c>
      <c r="H103" s="2">
        <v>96.5</v>
      </c>
      <c r="I103" s="2" t="s">
        <v>70</v>
      </c>
      <c r="J103" s="2">
        <v>0.5</v>
      </c>
      <c r="K103" s="7">
        <v>10</v>
      </c>
      <c r="L103" s="2">
        <v>2820</v>
      </c>
      <c r="M103" s="2">
        <v>2118</v>
      </c>
      <c r="N103" s="1" t="s">
        <v>299</v>
      </c>
    </row>
    <row r="104" spans="1:14" x14ac:dyDescent="0.2">
      <c r="A104" s="2">
        <v>408111</v>
      </c>
      <c r="C104" s="2" t="str">
        <f t="shared" si="1"/>
        <v>408111</v>
      </c>
      <c r="D104" s="3" t="s">
        <v>305</v>
      </c>
      <c r="E104" s="2">
        <v>304580</v>
      </c>
      <c r="F104" s="3" t="s">
        <v>41</v>
      </c>
      <c r="G104" s="2">
        <v>72</v>
      </c>
      <c r="H104" s="2">
        <v>96.5</v>
      </c>
      <c r="I104" s="2" t="s">
        <v>37</v>
      </c>
      <c r="J104" s="2">
        <v>0.5</v>
      </c>
      <c r="K104" s="7">
        <v>10</v>
      </c>
      <c r="L104" s="2">
        <v>2600</v>
      </c>
      <c r="M104" s="2">
        <v>2113</v>
      </c>
      <c r="N104" s="1" t="s">
        <v>304</v>
      </c>
    </row>
    <row r="105" spans="1:14" x14ac:dyDescent="0.2">
      <c r="A105" s="2">
        <v>405336</v>
      </c>
      <c r="B105" s="2">
        <v>1</v>
      </c>
      <c r="C105" s="2" t="str">
        <f t="shared" si="1"/>
        <v>4053361</v>
      </c>
      <c r="D105" s="3" t="s">
        <v>303</v>
      </c>
      <c r="E105" s="2">
        <v>303452</v>
      </c>
      <c r="F105" s="3" t="s">
        <v>73</v>
      </c>
      <c r="G105" s="2">
        <v>72</v>
      </c>
      <c r="H105" s="2">
        <v>96.5</v>
      </c>
      <c r="I105" s="2" t="s">
        <v>70</v>
      </c>
      <c r="J105" s="2">
        <v>0.5</v>
      </c>
      <c r="K105" s="7">
        <v>10</v>
      </c>
      <c r="L105" s="2">
        <v>2820</v>
      </c>
      <c r="M105" s="2">
        <v>2118</v>
      </c>
      <c r="N105" s="1" t="s">
        <v>299</v>
      </c>
    </row>
    <row r="106" spans="1:14" x14ac:dyDescent="0.2">
      <c r="A106" s="2">
        <v>405640</v>
      </c>
      <c r="C106" s="2" t="str">
        <f t="shared" si="1"/>
        <v>405640</v>
      </c>
      <c r="D106" s="3" t="s">
        <v>302</v>
      </c>
      <c r="E106" s="2">
        <v>303453</v>
      </c>
      <c r="F106" s="3" t="s">
        <v>71</v>
      </c>
      <c r="G106" s="2">
        <v>72</v>
      </c>
      <c r="H106" s="2">
        <v>96.5</v>
      </c>
      <c r="I106" s="2" t="s">
        <v>70</v>
      </c>
      <c r="J106" s="2">
        <v>0.5</v>
      </c>
      <c r="K106" s="7">
        <v>15</v>
      </c>
      <c r="L106" s="2">
        <v>2820</v>
      </c>
      <c r="M106" s="2">
        <v>2113</v>
      </c>
      <c r="N106" s="1" t="s">
        <v>215</v>
      </c>
    </row>
    <row r="107" spans="1:14" x14ac:dyDescent="0.2">
      <c r="A107" s="2">
        <v>405465</v>
      </c>
      <c r="C107" s="2" t="str">
        <f t="shared" si="1"/>
        <v>405465</v>
      </c>
      <c r="D107" s="3" t="s">
        <v>301</v>
      </c>
      <c r="E107" s="2">
        <v>303453</v>
      </c>
      <c r="F107" s="3" t="s">
        <v>71</v>
      </c>
      <c r="G107" s="2">
        <v>72</v>
      </c>
      <c r="H107" s="2">
        <v>96.5</v>
      </c>
      <c r="I107" s="2" t="s">
        <v>70</v>
      </c>
      <c r="J107" s="2">
        <v>0.5</v>
      </c>
      <c r="K107" s="7">
        <v>16</v>
      </c>
      <c r="L107" s="2">
        <v>2820</v>
      </c>
      <c r="M107" s="2">
        <v>2113</v>
      </c>
      <c r="N107" s="1" t="s">
        <v>215</v>
      </c>
    </row>
    <row r="108" spans="1:14" x14ac:dyDescent="0.2">
      <c r="A108" s="2">
        <v>405387</v>
      </c>
      <c r="C108" s="2" t="str">
        <f t="shared" si="1"/>
        <v>405387</v>
      </c>
      <c r="D108" s="3" t="s">
        <v>300</v>
      </c>
      <c r="E108" s="2">
        <v>303452</v>
      </c>
      <c r="F108" s="3" t="s">
        <v>73</v>
      </c>
      <c r="G108" s="2">
        <v>76.5</v>
      </c>
      <c r="H108" s="2">
        <v>97</v>
      </c>
      <c r="I108" s="2" t="s">
        <v>70</v>
      </c>
      <c r="J108" s="2">
        <v>0.5</v>
      </c>
      <c r="K108" s="7">
        <v>18</v>
      </c>
      <c r="L108" s="2">
        <v>2820</v>
      </c>
      <c r="M108" s="2">
        <v>2118</v>
      </c>
      <c r="N108" s="1" t="s">
        <v>299</v>
      </c>
    </row>
    <row r="109" spans="1:14" x14ac:dyDescent="0.2">
      <c r="A109" s="2">
        <v>405466</v>
      </c>
      <c r="C109" s="2" t="str">
        <f t="shared" si="1"/>
        <v>405466</v>
      </c>
      <c r="D109" s="3" t="s">
        <v>298</v>
      </c>
      <c r="E109" s="2">
        <v>303453</v>
      </c>
      <c r="F109" s="3" t="s">
        <v>71</v>
      </c>
      <c r="G109" s="2">
        <v>76</v>
      </c>
      <c r="H109" s="2">
        <v>97</v>
      </c>
      <c r="I109" s="2" t="s">
        <v>70</v>
      </c>
      <c r="J109" s="2">
        <v>0.5</v>
      </c>
      <c r="K109" s="7">
        <v>22</v>
      </c>
      <c r="L109" s="2">
        <v>2820</v>
      </c>
      <c r="M109" s="2">
        <v>2113</v>
      </c>
      <c r="N109" s="1" t="s">
        <v>215</v>
      </c>
    </row>
    <row r="110" spans="1:14" x14ac:dyDescent="0.2">
      <c r="A110" s="2">
        <v>405780</v>
      </c>
      <c r="B110" s="2">
        <v>9</v>
      </c>
      <c r="C110" s="2" t="str">
        <f t="shared" si="1"/>
        <v>4057809</v>
      </c>
      <c r="D110" s="3" t="s">
        <v>75</v>
      </c>
      <c r="E110" s="2">
        <v>302371</v>
      </c>
      <c r="F110" s="3" t="s">
        <v>297</v>
      </c>
      <c r="G110" s="2">
        <v>75</v>
      </c>
      <c r="H110" s="2">
        <v>97.3</v>
      </c>
      <c r="I110" s="2" t="s">
        <v>70</v>
      </c>
      <c r="J110" s="2">
        <v>0.5</v>
      </c>
      <c r="K110" s="7">
        <v>11</v>
      </c>
      <c r="L110" s="2">
        <v>2470</v>
      </c>
      <c r="M110" s="2">
        <v>2111</v>
      </c>
      <c r="N110" s="1" t="s">
        <v>69</v>
      </c>
    </row>
    <row r="111" spans="1:14" x14ac:dyDescent="0.2">
      <c r="A111" s="2">
        <v>405781</v>
      </c>
      <c r="B111" s="2">
        <v>9</v>
      </c>
      <c r="C111" s="2" t="str">
        <f t="shared" si="1"/>
        <v>4057819</v>
      </c>
      <c r="D111" s="3" t="s">
        <v>74</v>
      </c>
      <c r="E111" s="2">
        <v>302372</v>
      </c>
      <c r="F111" s="3" t="s">
        <v>296</v>
      </c>
      <c r="G111" s="2">
        <v>76.5</v>
      </c>
      <c r="H111" s="2">
        <v>97.3</v>
      </c>
      <c r="I111" s="2" t="s">
        <v>70</v>
      </c>
      <c r="J111" s="2">
        <v>0.5</v>
      </c>
      <c r="K111" s="7">
        <v>18</v>
      </c>
      <c r="L111" s="2">
        <v>2470</v>
      </c>
      <c r="M111" s="2">
        <v>2111</v>
      </c>
      <c r="N111" s="1" t="s">
        <v>69</v>
      </c>
    </row>
    <row r="112" spans="1:14" x14ac:dyDescent="0.2">
      <c r="A112" s="2">
        <v>405782</v>
      </c>
      <c r="B112" s="2">
        <v>9</v>
      </c>
      <c r="C112" s="2" t="str">
        <f t="shared" si="1"/>
        <v>4057829</v>
      </c>
      <c r="D112" s="3" t="s">
        <v>72</v>
      </c>
      <c r="E112" s="2">
        <v>302372</v>
      </c>
      <c r="F112" s="3" t="s">
        <v>296</v>
      </c>
      <c r="G112" s="2">
        <v>76</v>
      </c>
      <c r="H112" s="2">
        <v>97.3</v>
      </c>
      <c r="I112" s="2" t="s">
        <v>70</v>
      </c>
      <c r="J112" s="2">
        <v>0.5</v>
      </c>
      <c r="K112" s="7">
        <v>22</v>
      </c>
      <c r="L112" s="2">
        <v>2470</v>
      </c>
      <c r="M112" s="2">
        <v>2111</v>
      </c>
      <c r="N112" s="1" t="s">
        <v>69</v>
      </c>
    </row>
    <row r="113" spans="1:14" x14ac:dyDescent="0.2">
      <c r="A113" s="2">
        <v>409677</v>
      </c>
      <c r="C113" s="2" t="str">
        <f t="shared" si="1"/>
        <v>409677</v>
      </c>
      <c r="D113" s="3" t="s">
        <v>295</v>
      </c>
      <c r="E113" s="2">
        <v>303452</v>
      </c>
      <c r="F113" s="3" t="s">
        <v>73</v>
      </c>
      <c r="G113" s="2">
        <v>72</v>
      </c>
      <c r="H113" s="2">
        <v>96.5</v>
      </c>
      <c r="I113" s="2" t="s">
        <v>70</v>
      </c>
      <c r="J113" s="2">
        <v>0.5</v>
      </c>
      <c r="K113" s="7">
        <v>15</v>
      </c>
      <c r="L113" s="2">
        <v>2820</v>
      </c>
      <c r="M113" s="2">
        <v>2113</v>
      </c>
      <c r="N113" s="1" t="s">
        <v>293</v>
      </c>
    </row>
    <row r="114" spans="1:14" x14ac:dyDescent="0.2">
      <c r="A114" s="2">
        <v>409678</v>
      </c>
      <c r="C114" s="2" t="str">
        <f t="shared" si="1"/>
        <v>409678</v>
      </c>
      <c r="D114" s="3" t="s">
        <v>294</v>
      </c>
      <c r="E114" s="2">
        <v>303453</v>
      </c>
      <c r="F114" s="3" t="s">
        <v>71</v>
      </c>
      <c r="G114" s="2">
        <v>76</v>
      </c>
      <c r="H114" s="2">
        <v>97</v>
      </c>
      <c r="I114" s="2" t="s">
        <v>70</v>
      </c>
      <c r="J114" s="2">
        <v>0.5</v>
      </c>
      <c r="K114" s="7">
        <v>24</v>
      </c>
      <c r="L114" s="2">
        <v>2820</v>
      </c>
      <c r="M114" s="2">
        <v>2113</v>
      </c>
      <c r="N114" s="1" t="s">
        <v>293</v>
      </c>
    </row>
    <row r="115" spans="1:14" x14ac:dyDescent="0.2">
      <c r="A115" s="2">
        <v>302560</v>
      </c>
      <c r="B115" s="2">
        <v>9</v>
      </c>
      <c r="C115" s="2" t="str">
        <f t="shared" si="1"/>
        <v>3025609</v>
      </c>
      <c r="D115" s="3" t="s">
        <v>67</v>
      </c>
      <c r="E115" s="2">
        <v>302340</v>
      </c>
      <c r="F115" s="3" t="s">
        <v>292</v>
      </c>
      <c r="G115" s="2">
        <v>53</v>
      </c>
      <c r="H115" s="2">
        <v>96.8</v>
      </c>
      <c r="I115" s="2" t="s">
        <v>62</v>
      </c>
      <c r="J115" s="2">
        <v>0.5</v>
      </c>
      <c r="K115" s="7">
        <v>1</v>
      </c>
      <c r="L115" s="2">
        <v>2470</v>
      </c>
      <c r="M115" s="2">
        <v>2118</v>
      </c>
      <c r="N115" s="1" t="s">
        <v>68</v>
      </c>
    </row>
    <row r="116" spans="1:14" x14ac:dyDescent="0.2">
      <c r="A116" s="2">
        <v>302530</v>
      </c>
      <c r="B116" s="2">
        <v>9</v>
      </c>
      <c r="C116" s="2" t="str">
        <f t="shared" si="1"/>
        <v>3025309</v>
      </c>
      <c r="D116" s="3" t="s">
        <v>63</v>
      </c>
      <c r="E116" s="2">
        <v>302340</v>
      </c>
      <c r="F116" s="3" t="s">
        <v>292</v>
      </c>
      <c r="G116" s="2">
        <v>70</v>
      </c>
      <c r="H116" s="2">
        <v>96.8</v>
      </c>
      <c r="I116" s="2" t="s">
        <v>62</v>
      </c>
      <c r="J116" s="2">
        <v>0.5</v>
      </c>
      <c r="K116" s="7">
        <v>7</v>
      </c>
      <c r="L116" s="2">
        <v>2470</v>
      </c>
      <c r="M116" s="2">
        <v>2118</v>
      </c>
      <c r="N116" s="1" t="s">
        <v>291</v>
      </c>
    </row>
    <row r="117" spans="1:14" x14ac:dyDescent="0.2">
      <c r="A117" s="2">
        <v>400394</v>
      </c>
      <c r="B117" s="2">
        <v>9</v>
      </c>
      <c r="C117" s="2" t="str">
        <f t="shared" si="1"/>
        <v>4003949</v>
      </c>
      <c r="D117" s="3" t="s">
        <v>290</v>
      </c>
      <c r="E117" s="2">
        <v>302180</v>
      </c>
      <c r="F117" s="3" t="s">
        <v>289</v>
      </c>
      <c r="G117" s="2">
        <v>54</v>
      </c>
      <c r="H117" s="2">
        <v>97</v>
      </c>
      <c r="I117" s="2" t="s">
        <v>37</v>
      </c>
      <c r="J117" s="2">
        <v>0.5</v>
      </c>
      <c r="K117" s="7">
        <v>1</v>
      </c>
      <c r="L117" s="2">
        <v>2480</v>
      </c>
      <c r="M117" s="2">
        <v>2111</v>
      </c>
      <c r="N117" s="1" t="s">
        <v>55</v>
      </c>
    </row>
    <row r="118" spans="1:14" x14ac:dyDescent="0.2">
      <c r="A118" s="2">
        <v>407916</v>
      </c>
      <c r="B118" s="2">
        <v>9</v>
      </c>
      <c r="C118" s="2" t="str">
        <f t="shared" si="1"/>
        <v>4079169</v>
      </c>
      <c r="D118" s="3" t="s">
        <v>51</v>
      </c>
      <c r="E118" s="2">
        <v>302394</v>
      </c>
      <c r="F118" s="3" t="s">
        <v>288</v>
      </c>
      <c r="G118" s="2">
        <v>54.5</v>
      </c>
      <c r="H118" s="2">
        <v>97</v>
      </c>
      <c r="I118" s="2" t="s">
        <v>37</v>
      </c>
      <c r="J118" s="2">
        <v>0.5</v>
      </c>
      <c r="K118" s="7">
        <v>1</v>
      </c>
      <c r="L118" s="2">
        <v>2480</v>
      </c>
      <c r="M118" s="2">
        <v>2111</v>
      </c>
      <c r="N118" s="1" t="s">
        <v>58</v>
      </c>
    </row>
    <row r="119" spans="1:14" x14ac:dyDescent="0.2">
      <c r="A119" s="2">
        <v>400398</v>
      </c>
      <c r="B119" s="2">
        <v>9</v>
      </c>
      <c r="C119" s="2" t="str">
        <f t="shared" si="1"/>
        <v>4003989</v>
      </c>
      <c r="D119" s="3" t="s">
        <v>287</v>
      </c>
      <c r="E119" s="2">
        <v>302501</v>
      </c>
      <c r="F119" s="3" t="s">
        <v>257</v>
      </c>
      <c r="G119" s="2">
        <v>54.5</v>
      </c>
      <c r="H119" s="2">
        <v>97</v>
      </c>
      <c r="I119" s="2" t="s">
        <v>37</v>
      </c>
      <c r="J119" s="2">
        <v>0.5</v>
      </c>
      <c r="K119" s="7">
        <v>1</v>
      </c>
      <c r="L119" s="2">
        <v>2480</v>
      </c>
      <c r="M119" s="2">
        <v>2111</v>
      </c>
      <c r="N119" s="1" t="s">
        <v>58</v>
      </c>
    </row>
    <row r="120" spans="1:14" x14ac:dyDescent="0.2">
      <c r="A120" s="2">
        <v>408067</v>
      </c>
      <c r="B120" s="2">
        <v>9</v>
      </c>
      <c r="C120" s="2" t="str">
        <f t="shared" si="1"/>
        <v>4080679</v>
      </c>
      <c r="D120" s="3" t="s">
        <v>285</v>
      </c>
      <c r="E120" s="2">
        <v>302151</v>
      </c>
      <c r="F120" s="3" t="s">
        <v>269</v>
      </c>
      <c r="G120" s="2">
        <v>54.5</v>
      </c>
      <c r="H120" s="2">
        <v>97</v>
      </c>
      <c r="I120" s="2" t="s">
        <v>37</v>
      </c>
      <c r="J120" s="2">
        <v>0.5</v>
      </c>
      <c r="K120" s="7">
        <v>1</v>
      </c>
      <c r="L120" s="2">
        <v>2480</v>
      </c>
      <c r="M120" s="2">
        <v>2111</v>
      </c>
      <c r="N120" s="1" t="s">
        <v>58</v>
      </c>
    </row>
    <row r="121" spans="1:14" x14ac:dyDescent="0.2">
      <c r="A121" s="2">
        <v>408067</v>
      </c>
      <c r="C121" s="2" t="str">
        <f t="shared" si="1"/>
        <v>408067</v>
      </c>
      <c r="D121" s="3" t="s">
        <v>285</v>
      </c>
      <c r="E121" s="2">
        <v>304580</v>
      </c>
      <c r="F121" s="3" t="s">
        <v>41</v>
      </c>
      <c r="G121" s="2">
        <v>54.5</v>
      </c>
      <c r="H121" s="2">
        <v>97</v>
      </c>
      <c r="I121" s="2" t="s">
        <v>37</v>
      </c>
      <c r="J121" s="2">
        <v>0.5</v>
      </c>
      <c r="K121" s="7">
        <v>1</v>
      </c>
      <c r="L121" s="2">
        <v>2600</v>
      </c>
      <c r="M121" s="2">
        <v>2111</v>
      </c>
      <c r="N121" s="1" t="s">
        <v>58</v>
      </c>
    </row>
    <row r="122" spans="1:14" x14ac:dyDescent="0.2">
      <c r="A122" s="2">
        <v>408067</v>
      </c>
      <c r="B122" s="2" t="s">
        <v>286</v>
      </c>
      <c r="C122" s="2" t="str">
        <f t="shared" si="1"/>
        <v>408067s</v>
      </c>
      <c r="D122" s="3" t="s">
        <v>285</v>
      </c>
      <c r="E122" s="2">
        <v>304580</v>
      </c>
      <c r="F122" s="3" t="s">
        <v>41</v>
      </c>
      <c r="G122" s="2">
        <v>54.5</v>
      </c>
      <c r="H122" s="2">
        <v>97</v>
      </c>
      <c r="I122" s="2" t="s">
        <v>37</v>
      </c>
      <c r="J122" s="2">
        <v>0.5</v>
      </c>
      <c r="K122" s="7">
        <v>1</v>
      </c>
      <c r="L122" s="2">
        <v>2600</v>
      </c>
      <c r="M122" s="2">
        <v>2111</v>
      </c>
      <c r="N122" s="1" t="s">
        <v>55</v>
      </c>
    </row>
    <row r="123" spans="1:14" x14ac:dyDescent="0.2">
      <c r="A123" s="2">
        <v>402214</v>
      </c>
      <c r="B123" s="2">
        <v>9</v>
      </c>
      <c r="C123" s="2" t="str">
        <f t="shared" si="1"/>
        <v>4022149</v>
      </c>
      <c r="D123" s="3" t="s">
        <v>284</v>
      </c>
      <c r="E123" s="2">
        <v>303670</v>
      </c>
      <c r="F123" s="3" t="s">
        <v>283</v>
      </c>
      <c r="G123" s="2">
        <v>54.5</v>
      </c>
      <c r="H123" s="2">
        <v>97</v>
      </c>
      <c r="I123" s="2" t="s">
        <v>37</v>
      </c>
      <c r="J123" s="2">
        <v>0.5</v>
      </c>
      <c r="K123" s="7">
        <v>1</v>
      </c>
      <c r="L123" s="2">
        <v>2480</v>
      </c>
      <c r="M123" s="2">
        <v>2111</v>
      </c>
      <c r="N123" s="1" t="s">
        <v>58</v>
      </c>
    </row>
    <row r="124" spans="1:14" x14ac:dyDescent="0.2">
      <c r="A124" s="2">
        <v>405305</v>
      </c>
      <c r="C124" s="2" t="str">
        <f t="shared" si="1"/>
        <v>405305</v>
      </c>
      <c r="D124" s="3" t="s">
        <v>282</v>
      </c>
      <c r="E124" s="2">
        <v>303957</v>
      </c>
      <c r="F124" s="3" t="s">
        <v>281</v>
      </c>
      <c r="G124" s="2">
        <v>54.5</v>
      </c>
      <c r="H124" s="2">
        <v>97</v>
      </c>
      <c r="I124" s="2" t="s">
        <v>37</v>
      </c>
      <c r="J124" s="2">
        <v>0.5</v>
      </c>
      <c r="K124" s="7">
        <v>1</v>
      </c>
      <c r="L124" s="2">
        <v>2550</v>
      </c>
      <c r="M124" s="2">
        <v>2111</v>
      </c>
      <c r="N124" s="1" t="s">
        <v>280</v>
      </c>
    </row>
    <row r="125" spans="1:14" x14ac:dyDescent="0.2">
      <c r="A125" s="2">
        <v>410130</v>
      </c>
      <c r="C125" s="2" t="str">
        <f t="shared" si="1"/>
        <v>410130</v>
      </c>
      <c r="D125" t="s">
        <v>279</v>
      </c>
      <c r="E125" s="2">
        <v>304133</v>
      </c>
      <c r="F125" s="3" t="s">
        <v>278</v>
      </c>
      <c r="G125" s="2">
        <v>54.5</v>
      </c>
      <c r="H125" s="2">
        <v>97</v>
      </c>
      <c r="I125" s="2" t="s">
        <v>37</v>
      </c>
      <c r="J125" s="2">
        <v>0.5</v>
      </c>
      <c r="K125" s="7">
        <v>1</v>
      </c>
      <c r="L125" s="2">
        <v>2550</v>
      </c>
      <c r="M125" s="2">
        <v>2111</v>
      </c>
      <c r="N125" s="1" t="s">
        <v>277</v>
      </c>
    </row>
    <row r="126" spans="1:14" x14ac:dyDescent="0.2">
      <c r="A126" s="2">
        <v>411281</v>
      </c>
      <c r="C126" s="2" t="str">
        <f t="shared" si="1"/>
        <v>411281</v>
      </c>
      <c r="D126" s="3" t="s">
        <v>276</v>
      </c>
      <c r="E126" s="2">
        <v>303466</v>
      </c>
      <c r="F126" s="8" t="s">
        <v>38</v>
      </c>
      <c r="G126" s="2">
        <v>60</v>
      </c>
      <c r="H126" s="2">
        <v>97</v>
      </c>
      <c r="I126" s="2" t="s">
        <v>37</v>
      </c>
      <c r="J126" s="2">
        <v>0.5</v>
      </c>
      <c r="K126" s="7">
        <v>3</v>
      </c>
      <c r="L126" s="2">
        <v>2550</v>
      </c>
      <c r="M126" s="2">
        <v>2118</v>
      </c>
      <c r="N126" s="1" t="s">
        <v>268</v>
      </c>
    </row>
    <row r="127" spans="1:14" x14ac:dyDescent="0.2">
      <c r="A127" s="2">
        <v>408751</v>
      </c>
      <c r="C127" s="2" t="str">
        <f t="shared" si="1"/>
        <v>408751</v>
      </c>
      <c r="D127" s="3" t="s">
        <v>275</v>
      </c>
      <c r="E127" s="2">
        <v>304694</v>
      </c>
      <c r="F127" s="3" t="s">
        <v>77</v>
      </c>
      <c r="G127" s="2">
        <v>60</v>
      </c>
      <c r="H127" s="2">
        <v>97</v>
      </c>
      <c r="I127" s="2" t="s">
        <v>37</v>
      </c>
      <c r="J127" s="2">
        <v>0.5</v>
      </c>
      <c r="K127" s="7">
        <v>3</v>
      </c>
      <c r="L127" s="2">
        <v>2600</v>
      </c>
      <c r="M127" s="2">
        <v>2118</v>
      </c>
      <c r="N127" s="1" t="s">
        <v>274</v>
      </c>
    </row>
    <row r="128" spans="1:14" x14ac:dyDescent="0.2">
      <c r="A128" s="2">
        <v>408890</v>
      </c>
      <c r="C128" s="2" t="str">
        <f t="shared" si="1"/>
        <v>408890</v>
      </c>
      <c r="D128" s="3" t="s">
        <v>271</v>
      </c>
      <c r="E128" s="2">
        <v>304580</v>
      </c>
      <c r="F128" s="3" t="s">
        <v>41</v>
      </c>
      <c r="G128" s="2">
        <v>60</v>
      </c>
      <c r="H128" s="2">
        <v>97</v>
      </c>
      <c r="I128" s="2" t="s">
        <v>37</v>
      </c>
      <c r="J128" s="2">
        <v>0.5</v>
      </c>
      <c r="K128" s="7">
        <v>3</v>
      </c>
      <c r="L128" s="2">
        <v>2550</v>
      </c>
      <c r="M128" s="2">
        <v>2111</v>
      </c>
      <c r="N128" s="1" t="s">
        <v>273</v>
      </c>
    </row>
    <row r="129" spans="1:14" x14ac:dyDescent="0.2">
      <c r="A129" s="2">
        <v>408890</v>
      </c>
      <c r="B129" s="2" t="s">
        <v>272</v>
      </c>
      <c r="C129" s="2" t="str">
        <f t="shared" si="1"/>
        <v>408890m</v>
      </c>
      <c r="D129" s="3" t="s">
        <v>271</v>
      </c>
      <c r="E129" s="2">
        <v>304580</v>
      </c>
      <c r="F129" s="3" t="s">
        <v>41</v>
      </c>
      <c r="G129" s="2">
        <v>60</v>
      </c>
      <c r="H129" s="2">
        <v>97</v>
      </c>
      <c r="I129" s="2" t="s">
        <v>37</v>
      </c>
      <c r="J129" s="2">
        <v>0.5</v>
      </c>
      <c r="K129" s="7">
        <v>3</v>
      </c>
      <c r="L129" s="2">
        <v>2550</v>
      </c>
      <c r="M129" s="2">
        <v>2118</v>
      </c>
      <c r="N129" s="1" t="s">
        <v>270</v>
      </c>
    </row>
    <row r="130" spans="1:14" x14ac:dyDescent="0.2">
      <c r="A130" s="2">
        <v>300370</v>
      </c>
      <c r="B130" s="2">
        <v>9</v>
      </c>
      <c r="C130" s="2" t="str">
        <f t="shared" si="1"/>
        <v>3003709</v>
      </c>
      <c r="D130" s="3" t="s">
        <v>266</v>
      </c>
      <c r="E130" s="2">
        <v>302151</v>
      </c>
      <c r="F130" s="3" t="s">
        <v>269</v>
      </c>
      <c r="G130" s="2">
        <v>63.5</v>
      </c>
      <c r="H130" s="2">
        <v>97</v>
      </c>
      <c r="I130" s="2" t="s">
        <v>37</v>
      </c>
      <c r="J130" s="2">
        <v>0.5</v>
      </c>
      <c r="K130" s="7">
        <v>6</v>
      </c>
      <c r="L130" s="2">
        <v>2480</v>
      </c>
      <c r="M130" s="2">
        <v>2118</v>
      </c>
      <c r="N130" s="1" t="s">
        <v>268</v>
      </c>
    </row>
    <row r="131" spans="1:14" x14ac:dyDescent="0.2">
      <c r="A131" s="2">
        <v>300370</v>
      </c>
      <c r="B131" s="2" t="s">
        <v>10</v>
      </c>
      <c r="C131" s="2" t="str">
        <f t="shared" ref="C131:C194" si="2">+CONCATENATE(A131,B131)</f>
        <v>300370b</v>
      </c>
      <c r="D131" s="3" t="s">
        <v>266</v>
      </c>
      <c r="E131" s="2">
        <v>303456</v>
      </c>
      <c r="F131" s="3" t="s">
        <v>267</v>
      </c>
      <c r="G131" s="2">
        <v>63.5</v>
      </c>
      <c r="H131" s="2">
        <v>97</v>
      </c>
      <c r="I131" s="2" t="s">
        <v>37</v>
      </c>
      <c r="J131" s="2">
        <v>0.5</v>
      </c>
      <c r="K131" s="7">
        <v>6</v>
      </c>
      <c r="L131" s="2">
        <v>2600</v>
      </c>
      <c r="M131" s="2">
        <v>2118</v>
      </c>
      <c r="N131" s="1" t="s">
        <v>265</v>
      </c>
    </row>
    <row r="132" spans="1:14" x14ac:dyDescent="0.2">
      <c r="A132" s="2">
        <v>300370</v>
      </c>
      <c r="C132" s="2" t="str">
        <f t="shared" si="2"/>
        <v>300370</v>
      </c>
      <c r="D132" s="3" t="s">
        <v>266</v>
      </c>
      <c r="E132" s="2">
        <v>304694</v>
      </c>
      <c r="F132" s="3" t="s">
        <v>77</v>
      </c>
      <c r="G132" s="2">
        <v>63.5</v>
      </c>
      <c r="H132" s="2">
        <v>97</v>
      </c>
      <c r="I132" s="2" t="s">
        <v>37</v>
      </c>
      <c r="J132" s="2">
        <v>0.5</v>
      </c>
      <c r="K132" s="7">
        <v>6</v>
      </c>
      <c r="L132" s="2">
        <v>2600</v>
      </c>
      <c r="M132" s="2">
        <v>2118</v>
      </c>
      <c r="N132" s="1" t="s">
        <v>265</v>
      </c>
    </row>
    <row r="133" spans="1:14" ht="13.5" x14ac:dyDescent="0.25">
      <c r="A133" s="25">
        <v>300370</v>
      </c>
      <c r="B133" s="2" t="s">
        <v>2</v>
      </c>
      <c r="C133" s="2" t="str">
        <f t="shared" si="2"/>
        <v>300370a</v>
      </c>
      <c r="D133" s="3" t="s">
        <v>266</v>
      </c>
      <c r="E133" s="2">
        <v>304580</v>
      </c>
      <c r="F133" s="3" t="s">
        <v>41</v>
      </c>
      <c r="G133" s="2">
        <v>63.5</v>
      </c>
      <c r="H133" s="2">
        <v>97</v>
      </c>
      <c r="I133" s="2" t="s">
        <v>37</v>
      </c>
      <c r="J133" s="2">
        <v>0.5</v>
      </c>
      <c r="K133" s="7">
        <v>6</v>
      </c>
      <c r="L133" s="2">
        <v>2600</v>
      </c>
      <c r="M133" s="2">
        <v>2118</v>
      </c>
      <c r="N133" s="1" t="s">
        <v>265</v>
      </c>
    </row>
    <row r="134" spans="1:14" x14ac:dyDescent="0.2">
      <c r="A134" s="2">
        <v>400399</v>
      </c>
      <c r="C134" s="2" t="str">
        <f t="shared" si="2"/>
        <v>400399</v>
      </c>
      <c r="D134" s="3" t="s">
        <v>264</v>
      </c>
      <c r="E134" s="2">
        <v>304580</v>
      </c>
      <c r="F134" s="3" t="s">
        <v>41</v>
      </c>
      <c r="G134" s="2">
        <v>63.5</v>
      </c>
      <c r="H134" s="2">
        <v>97</v>
      </c>
      <c r="I134" s="2" t="s">
        <v>37</v>
      </c>
      <c r="J134" s="2">
        <v>0.5</v>
      </c>
      <c r="K134" s="7">
        <v>6</v>
      </c>
      <c r="L134" s="2">
        <v>2550</v>
      </c>
      <c r="M134" s="2">
        <v>2113</v>
      </c>
      <c r="N134" s="1" t="s">
        <v>263</v>
      </c>
    </row>
    <row r="135" spans="1:14" x14ac:dyDescent="0.2">
      <c r="A135" s="2">
        <v>412654</v>
      </c>
      <c r="C135" s="2" t="str">
        <f t="shared" si="2"/>
        <v>412654</v>
      </c>
      <c r="D135" s="3" t="s">
        <v>262</v>
      </c>
      <c r="E135" s="2">
        <v>304450</v>
      </c>
      <c r="F135" s="8" t="s">
        <v>48</v>
      </c>
      <c r="G135" s="2">
        <v>50</v>
      </c>
      <c r="H135" s="2">
        <v>96.9</v>
      </c>
      <c r="I135" s="2" t="s">
        <v>37</v>
      </c>
      <c r="J135" s="2">
        <v>0.5</v>
      </c>
      <c r="K135" s="7">
        <v>1</v>
      </c>
      <c r="L135" s="2">
        <v>2550</v>
      </c>
      <c r="M135" s="2">
        <v>2111</v>
      </c>
      <c r="N135" s="1" t="s">
        <v>260</v>
      </c>
    </row>
    <row r="136" spans="1:14" x14ac:dyDescent="0.2">
      <c r="A136" s="2">
        <v>412655</v>
      </c>
      <c r="C136" s="2" t="str">
        <f t="shared" si="2"/>
        <v>412655</v>
      </c>
      <c r="D136" s="3" t="s">
        <v>261</v>
      </c>
      <c r="E136" s="2">
        <v>304450</v>
      </c>
      <c r="F136" s="8" t="s">
        <v>48</v>
      </c>
      <c r="G136" s="2">
        <v>57</v>
      </c>
      <c r="H136" s="2">
        <v>97</v>
      </c>
      <c r="I136" s="2" t="s">
        <v>62</v>
      </c>
      <c r="J136" s="2">
        <v>0.5</v>
      </c>
      <c r="K136" s="7">
        <v>7</v>
      </c>
      <c r="L136" s="2">
        <v>2550</v>
      </c>
      <c r="M136" s="2">
        <v>2111</v>
      </c>
      <c r="N136" s="1" t="s">
        <v>260</v>
      </c>
    </row>
    <row r="137" spans="1:14" x14ac:dyDescent="0.2">
      <c r="A137" s="2">
        <v>408707</v>
      </c>
      <c r="C137" s="2" t="str">
        <f t="shared" si="2"/>
        <v>408707</v>
      </c>
      <c r="D137" s="3" t="s">
        <v>259</v>
      </c>
      <c r="E137" s="2">
        <v>304580</v>
      </c>
      <c r="F137" s="3" t="s">
        <v>41</v>
      </c>
      <c r="G137" s="2">
        <v>70</v>
      </c>
      <c r="H137" s="2">
        <v>96.5</v>
      </c>
      <c r="I137" s="2" t="s">
        <v>37</v>
      </c>
      <c r="J137" s="2">
        <v>0.5</v>
      </c>
      <c r="K137" s="7">
        <v>7</v>
      </c>
      <c r="L137" s="2">
        <v>2600</v>
      </c>
      <c r="M137" s="2">
        <v>2118</v>
      </c>
      <c r="N137" s="1" t="s">
        <v>258</v>
      </c>
    </row>
    <row r="138" spans="1:14" x14ac:dyDescent="0.2">
      <c r="A138" s="2">
        <v>300378</v>
      </c>
      <c r="B138" s="2">
        <v>9</v>
      </c>
      <c r="C138" s="2" t="str">
        <f t="shared" si="2"/>
        <v>3003789</v>
      </c>
      <c r="D138" s="3" t="s">
        <v>42</v>
      </c>
      <c r="E138" s="2">
        <v>302501</v>
      </c>
      <c r="F138" s="3" t="s">
        <v>257</v>
      </c>
      <c r="G138" s="2">
        <v>72</v>
      </c>
      <c r="H138" s="2">
        <v>97</v>
      </c>
      <c r="I138" s="2" t="s">
        <v>37</v>
      </c>
      <c r="J138" s="2">
        <v>0.5</v>
      </c>
      <c r="K138" s="7">
        <v>8</v>
      </c>
      <c r="L138" s="2">
        <v>2480</v>
      </c>
      <c r="M138" s="2">
        <v>2118</v>
      </c>
      <c r="N138" s="1" t="s">
        <v>256</v>
      </c>
    </row>
    <row r="139" spans="1:14" x14ac:dyDescent="0.2">
      <c r="A139" s="2">
        <v>302765</v>
      </c>
      <c r="B139" s="2">
        <v>9</v>
      </c>
      <c r="C139" s="2" t="str">
        <f t="shared" si="2"/>
        <v>3027659</v>
      </c>
      <c r="D139" s="3" t="s">
        <v>248</v>
      </c>
      <c r="E139" s="2">
        <v>302653</v>
      </c>
      <c r="F139" s="3" t="s">
        <v>253</v>
      </c>
      <c r="G139" s="2">
        <v>67</v>
      </c>
      <c r="H139" s="2">
        <v>97</v>
      </c>
      <c r="I139" s="2" t="s">
        <v>70</v>
      </c>
      <c r="J139" s="2">
        <v>0.5</v>
      </c>
      <c r="K139" s="7">
        <v>2</v>
      </c>
      <c r="L139" s="2">
        <v>2400</v>
      </c>
      <c r="M139" s="2">
        <v>2118</v>
      </c>
      <c r="N139" s="1" t="s">
        <v>255</v>
      </c>
    </row>
    <row r="140" spans="1:14" x14ac:dyDescent="0.2">
      <c r="A140" s="2">
        <v>302532</v>
      </c>
      <c r="B140" s="2">
        <v>9</v>
      </c>
      <c r="C140" s="2" t="str">
        <f t="shared" si="2"/>
        <v>3025329</v>
      </c>
      <c r="D140" s="3" t="s">
        <v>244</v>
      </c>
      <c r="E140" s="2">
        <v>302452</v>
      </c>
      <c r="F140" s="3" t="s">
        <v>251</v>
      </c>
      <c r="G140" s="2">
        <v>63.5</v>
      </c>
      <c r="H140" s="2">
        <v>96.5</v>
      </c>
      <c r="I140" s="2" t="s">
        <v>70</v>
      </c>
      <c r="J140" s="2">
        <v>0.5</v>
      </c>
      <c r="K140" s="7">
        <v>4</v>
      </c>
      <c r="L140" s="2">
        <v>2400</v>
      </c>
      <c r="M140" s="2">
        <v>2118</v>
      </c>
      <c r="N140" s="1" t="s">
        <v>254</v>
      </c>
    </row>
    <row r="141" spans="1:14" x14ac:dyDescent="0.2">
      <c r="A141" s="2">
        <v>302532</v>
      </c>
      <c r="B141" s="2" t="s">
        <v>8</v>
      </c>
      <c r="C141" s="2" t="str">
        <f t="shared" si="2"/>
        <v>302532c</v>
      </c>
      <c r="D141" s="3" t="s">
        <v>244</v>
      </c>
      <c r="E141" s="2">
        <v>302452</v>
      </c>
      <c r="F141" s="3" t="s">
        <v>251</v>
      </c>
      <c r="G141" s="2">
        <v>63.5</v>
      </c>
      <c r="H141" s="2">
        <v>96.5</v>
      </c>
      <c r="I141" s="2" t="s">
        <v>70</v>
      </c>
      <c r="J141" s="2">
        <v>0.5</v>
      </c>
      <c r="K141" s="7">
        <v>4</v>
      </c>
      <c r="L141" s="2">
        <v>2400</v>
      </c>
      <c r="M141" s="2">
        <v>2118</v>
      </c>
      <c r="N141" s="1" t="s">
        <v>85</v>
      </c>
    </row>
    <row r="142" spans="1:14" x14ac:dyDescent="0.2">
      <c r="A142" s="2">
        <v>302870</v>
      </c>
      <c r="B142" s="2">
        <v>9</v>
      </c>
      <c r="C142" s="2" t="str">
        <f t="shared" si="2"/>
        <v>3028709</v>
      </c>
      <c r="D142" s="3" t="s">
        <v>241</v>
      </c>
      <c r="E142" s="2">
        <v>302653</v>
      </c>
      <c r="F142" s="3" t="s">
        <v>253</v>
      </c>
      <c r="G142" s="2">
        <v>67</v>
      </c>
      <c r="H142" s="2">
        <v>97</v>
      </c>
      <c r="I142" s="2" t="s">
        <v>70</v>
      </c>
      <c r="J142" s="2">
        <v>0.5</v>
      </c>
      <c r="K142" s="7">
        <v>8</v>
      </c>
      <c r="L142" s="2">
        <v>2470</v>
      </c>
      <c r="M142" s="2">
        <v>2118</v>
      </c>
      <c r="N142" s="1" t="s">
        <v>85</v>
      </c>
    </row>
    <row r="143" spans="1:14" x14ac:dyDescent="0.2">
      <c r="A143" s="2">
        <v>303492</v>
      </c>
      <c r="B143" s="2">
        <v>9</v>
      </c>
      <c r="C143" s="2" t="str">
        <f t="shared" si="2"/>
        <v>3034929</v>
      </c>
      <c r="D143" s="3" t="s">
        <v>240</v>
      </c>
      <c r="E143" s="2">
        <v>302766</v>
      </c>
      <c r="F143" s="3" t="s">
        <v>252</v>
      </c>
      <c r="G143" s="2">
        <v>70</v>
      </c>
      <c r="H143" s="2">
        <v>96.5</v>
      </c>
      <c r="I143" s="2" t="s">
        <v>70</v>
      </c>
      <c r="J143" s="2">
        <v>0.5</v>
      </c>
      <c r="K143" s="7">
        <v>13</v>
      </c>
      <c r="L143" s="2">
        <v>2470</v>
      </c>
      <c r="M143" s="2">
        <v>2118</v>
      </c>
      <c r="N143" s="1" t="s">
        <v>237</v>
      </c>
    </row>
    <row r="144" spans="1:14" x14ac:dyDescent="0.2">
      <c r="A144" s="2">
        <v>303493</v>
      </c>
      <c r="B144" s="2">
        <v>9</v>
      </c>
      <c r="C144" s="2" t="str">
        <f t="shared" si="2"/>
        <v>3034939</v>
      </c>
      <c r="D144" s="3" t="s">
        <v>239</v>
      </c>
      <c r="E144" s="2">
        <v>302766</v>
      </c>
      <c r="F144" s="3" t="s">
        <v>252</v>
      </c>
      <c r="G144" s="2">
        <v>70</v>
      </c>
      <c r="H144" s="2">
        <v>96.5</v>
      </c>
      <c r="I144" s="2" t="s">
        <v>70</v>
      </c>
      <c r="J144" s="2">
        <v>0.5</v>
      </c>
      <c r="K144" s="7">
        <v>16</v>
      </c>
      <c r="L144" s="2">
        <v>2470</v>
      </c>
      <c r="M144" s="2">
        <v>2118</v>
      </c>
      <c r="N144" s="1" t="s">
        <v>237</v>
      </c>
    </row>
    <row r="145" spans="1:14" x14ac:dyDescent="0.2">
      <c r="A145" s="2">
        <v>301106</v>
      </c>
      <c r="B145" s="2">
        <v>9</v>
      </c>
      <c r="C145" s="2" t="str">
        <f t="shared" si="2"/>
        <v>3011069</v>
      </c>
      <c r="D145" s="3" t="s">
        <v>236</v>
      </c>
      <c r="E145" s="2">
        <v>302452</v>
      </c>
      <c r="F145" s="3" t="s">
        <v>251</v>
      </c>
      <c r="G145" s="2">
        <v>67</v>
      </c>
      <c r="H145" s="2">
        <v>97</v>
      </c>
      <c r="I145" s="2" t="s">
        <v>70</v>
      </c>
      <c r="J145" s="2">
        <v>0.5</v>
      </c>
      <c r="K145" s="7">
        <v>8</v>
      </c>
      <c r="L145" s="2">
        <v>2470</v>
      </c>
      <c r="M145" s="2">
        <v>2118</v>
      </c>
      <c r="N145" s="1" t="s">
        <v>85</v>
      </c>
    </row>
    <row r="146" spans="1:14" x14ac:dyDescent="0.2">
      <c r="A146" s="2">
        <v>405598</v>
      </c>
      <c r="B146" s="2">
        <v>9</v>
      </c>
      <c r="C146" s="2" t="str">
        <f t="shared" si="2"/>
        <v>4055989</v>
      </c>
      <c r="D146" s="3" t="s">
        <v>235</v>
      </c>
      <c r="E146" s="2">
        <v>302452</v>
      </c>
      <c r="F146" s="3" t="s">
        <v>251</v>
      </c>
      <c r="G146" s="2">
        <v>67</v>
      </c>
      <c r="H146" s="2">
        <v>97</v>
      </c>
      <c r="I146" s="2" t="s">
        <v>70</v>
      </c>
      <c r="J146" s="2">
        <v>0.5</v>
      </c>
      <c r="K146" s="7">
        <v>8</v>
      </c>
      <c r="L146" s="2">
        <v>2470</v>
      </c>
      <c r="M146" s="2">
        <v>2113</v>
      </c>
      <c r="N146" s="1" t="s">
        <v>233</v>
      </c>
    </row>
    <row r="147" spans="1:14" x14ac:dyDescent="0.2">
      <c r="A147" s="2">
        <v>405599</v>
      </c>
      <c r="B147" s="2" t="s">
        <v>8</v>
      </c>
      <c r="C147" s="2" t="str">
        <f t="shared" si="2"/>
        <v>405599c</v>
      </c>
      <c r="D147" s="3" t="s">
        <v>231</v>
      </c>
      <c r="E147" s="2">
        <v>302334</v>
      </c>
      <c r="F147" s="3" t="s">
        <v>249</v>
      </c>
      <c r="G147" s="2">
        <v>72</v>
      </c>
      <c r="H147" s="2">
        <v>97</v>
      </c>
      <c r="I147" s="2" t="s">
        <v>70</v>
      </c>
      <c r="J147" s="2">
        <v>0.5</v>
      </c>
      <c r="K147" s="7">
        <v>13</v>
      </c>
      <c r="L147" s="2">
        <v>2470</v>
      </c>
      <c r="M147" s="2">
        <v>2113</v>
      </c>
      <c r="N147" s="1" t="s">
        <v>250</v>
      </c>
    </row>
    <row r="148" spans="1:14" x14ac:dyDescent="0.2">
      <c r="A148" s="2">
        <v>405599</v>
      </c>
      <c r="B148" s="2">
        <v>9</v>
      </c>
      <c r="C148" s="2" t="str">
        <f t="shared" si="2"/>
        <v>4055999</v>
      </c>
      <c r="D148" s="3" t="s">
        <v>231</v>
      </c>
      <c r="E148" s="2">
        <v>302334</v>
      </c>
      <c r="F148" s="3" t="s">
        <v>249</v>
      </c>
      <c r="G148" s="2">
        <v>72</v>
      </c>
      <c r="H148" s="2">
        <v>97</v>
      </c>
      <c r="I148" s="2" t="s">
        <v>70</v>
      </c>
      <c r="J148" s="2">
        <v>0.5</v>
      </c>
      <c r="K148" s="7">
        <v>13</v>
      </c>
      <c r="L148" s="2">
        <v>2470</v>
      </c>
      <c r="M148" s="2">
        <v>2113</v>
      </c>
      <c r="N148" s="1" t="s">
        <v>232</v>
      </c>
    </row>
    <row r="149" spans="1:14" x14ac:dyDescent="0.2">
      <c r="A149" s="2">
        <v>302765</v>
      </c>
      <c r="C149" s="2" t="str">
        <f t="shared" si="2"/>
        <v>302765</v>
      </c>
      <c r="D149" s="3" t="s">
        <v>248</v>
      </c>
      <c r="E149" s="2">
        <v>303481</v>
      </c>
      <c r="F149" s="3" t="s">
        <v>238</v>
      </c>
      <c r="G149" s="2">
        <v>59</v>
      </c>
      <c r="H149" s="2">
        <v>97</v>
      </c>
      <c r="I149" s="2" t="s">
        <v>70</v>
      </c>
      <c r="J149" s="2">
        <v>0.5</v>
      </c>
      <c r="K149" s="7">
        <v>2</v>
      </c>
      <c r="L149" s="2">
        <v>2400</v>
      </c>
      <c r="M149" s="2">
        <v>2118</v>
      </c>
      <c r="N149" s="1" t="s">
        <v>85</v>
      </c>
    </row>
    <row r="150" spans="1:14" x14ac:dyDescent="0.2">
      <c r="A150" s="2">
        <v>304140</v>
      </c>
      <c r="C150" s="2" t="str">
        <f t="shared" si="2"/>
        <v>304140</v>
      </c>
      <c r="D150" s="3" t="s">
        <v>247</v>
      </c>
      <c r="E150" s="2">
        <v>303479</v>
      </c>
      <c r="F150" s="3" t="s">
        <v>246</v>
      </c>
      <c r="G150" s="2">
        <v>59</v>
      </c>
      <c r="H150" s="2">
        <v>97</v>
      </c>
      <c r="I150" s="2" t="s">
        <v>70</v>
      </c>
      <c r="J150" s="2">
        <v>0.5</v>
      </c>
      <c r="K150" s="7">
        <v>2</v>
      </c>
      <c r="L150" s="2">
        <v>2400</v>
      </c>
      <c r="M150" s="2">
        <v>2118</v>
      </c>
      <c r="N150" s="1" t="s">
        <v>245</v>
      </c>
    </row>
    <row r="151" spans="1:14" x14ac:dyDescent="0.2">
      <c r="A151" s="2">
        <v>302532</v>
      </c>
      <c r="C151" s="2" t="str">
        <f t="shared" si="2"/>
        <v>302532</v>
      </c>
      <c r="D151" s="3" t="s">
        <v>244</v>
      </c>
      <c r="E151" s="2">
        <v>303485</v>
      </c>
      <c r="F151" s="3" t="s">
        <v>234</v>
      </c>
      <c r="G151" s="2">
        <v>63.5</v>
      </c>
      <c r="H151" s="2">
        <v>96.5</v>
      </c>
      <c r="I151" s="2" t="s">
        <v>70</v>
      </c>
      <c r="J151" s="2">
        <v>0.5</v>
      </c>
      <c r="K151" s="7">
        <v>4</v>
      </c>
      <c r="L151" s="2">
        <v>2450</v>
      </c>
      <c r="M151" s="2">
        <v>2118</v>
      </c>
      <c r="N151" s="1" t="s">
        <v>243</v>
      </c>
    </row>
    <row r="152" spans="1:14" x14ac:dyDescent="0.2">
      <c r="A152" s="2">
        <v>302870</v>
      </c>
      <c r="C152" s="2" t="str">
        <f t="shared" si="2"/>
        <v>302870</v>
      </c>
      <c r="D152" s="3" t="s">
        <v>241</v>
      </c>
      <c r="E152" s="2">
        <v>303481</v>
      </c>
      <c r="F152" s="3" t="s">
        <v>238</v>
      </c>
      <c r="G152" s="2">
        <v>72</v>
      </c>
      <c r="H152" s="2">
        <v>97</v>
      </c>
      <c r="I152" s="2" t="s">
        <v>70</v>
      </c>
      <c r="J152" s="2">
        <v>0.5</v>
      </c>
      <c r="K152" s="7">
        <v>8</v>
      </c>
      <c r="L152" s="2">
        <v>2820</v>
      </c>
      <c r="M152" s="2">
        <v>2118</v>
      </c>
      <c r="N152" s="1" t="s">
        <v>242</v>
      </c>
    </row>
    <row r="153" spans="1:14" x14ac:dyDescent="0.2">
      <c r="A153" s="2">
        <v>302870</v>
      </c>
      <c r="B153" s="2" t="s">
        <v>8</v>
      </c>
      <c r="C153" s="2" t="str">
        <f t="shared" si="2"/>
        <v>302870c</v>
      </c>
      <c r="D153" s="3" t="s">
        <v>241</v>
      </c>
      <c r="E153" s="2">
        <v>303481</v>
      </c>
      <c r="F153" s="3" t="s">
        <v>238</v>
      </c>
      <c r="G153" s="2">
        <v>72</v>
      </c>
      <c r="H153" s="2">
        <v>97</v>
      </c>
      <c r="I153" s="2" t="s">
        <v>70</v>
      </c>
      <c r="J153" s="2">
        <v>0.5</v>
      </c>
      <c r="K153" s="7">
        <v>8</v>
      </c>
      <c r="L153" s="2">
        <v>2820</v>
      </c>
      <c r="M153" s="2">
        <v>2118</v>
      </c>
      <c r="N153" s="1" t="s">
        <v>85</v>
      </c>
    </row>
    <row r="154" spans="1:14" x14ac:dyDescent="0.2">
      <c r="A154" s="2">
        <v>303492</v>
      </c>
      <c r="C154" s="2" t="str">
        <f t="shared" si="2"/>
        <v>303492</v>
      </c>
      <c r="D154" s="3" t="s">
        <v>240</v>
      </c>
      <c r="E154" s="2">
        <v>303481</v>
      </c>
      <c r="F154" s="3" t="s">
        <v>238</v>
      </c>
      <c r="G154" s="2">
        <v>70</v>
      </c>
      <c r="H154" s="2">
        <v>96.5</v>
      </c>
      <c r="I154" s="2" t="s">
        <v>70</v>
      </c>
      <c r="J154" s="2">
        <v>0.5</v>
      </c>
      <c r="K154" s="7">
        <v>13</v>
      </c>
      <c r="L154" s="2">
        <v>2820</v>
      </c>
      <c r="M154" s="2">
        <v>2118</v>
      </c>
      <c r="N154" s="1" t="s">
        <v>237</v>
      </c>
    </row>
    <row r="155" spans="1:14" x14ac:dyDescent="0.2">
      <c r="A155" s="2">
        <v>303493</v>
      </c>
      <c r="C155" s="2" t="str">
        <f t="shared" si="2"/>
        <v>303493</v>
      </c>
      <c r="D155" s="3" t="s">
        <v>239</v>
      </c>
      <c r="E155" s="2">
        <v>303481</v>
      </c>
      <c r="F155" s="3" t="s">
        <v>238</v>
      </c>
      <c r="G155" s="2">
        <v>70</v>
      </c>
      <c r="H155" s="2">
        <v>96.5</v>
      </c>
      <c r="I155" s="2" t="s">
        <v>70</v>
      </c>
      <c r="J155" s="2">
        <v>0.5</v>
      </c>
      <c r="K155" s="7">
        <v>16</v>
      </c>
      <c r="L155" s="2">
        <v>2820</v>
      </c>
      <c r="M155" s="2">
        <v>2118</v>
      </c>
      <c r="N155" s="1" t="s">
        <v>237</v>
      </c>
    </row>
    <row r="156" spans="1:14" x14ac:dyDescent="0.2">
      <c r="A156" s="2">
        <v>301106</v>
      </c>
      <c r="C156" s="2" t="str">
        <f t="shared" si="2"/>
        <v>301106</v>
      </c>
      <c r="D156" s="3" t="s">
        <v>236</v>
      </c>
      <c r="E156" s="2">
        <v>303485</v>
      </c>
      <c r="F156" s="3" t="s">
        <v>234</v>
      </c>
      <c r="G156" s="2">
        <v>72</v>
      </c>
      <c r="H156" s="2">
        <v>97</v>
      </c>
      <c r="I156" s="2" t="s">
        <v>70</v>
      </c>
      <c r="J156" s="2">
        <v>0.5</v>
      </c>
      <c r="K156" s="7">
        <v>8</v>
      </c>
      <c r="L156" s="2">
        <v>2820</v>
      </c>
      <c r="M156" s="2">
        <v>2118</v>
      </c>
      <c r="N156" s="1" t="s">
        <v>85</v>
      </c>
    </row>
    <row r="157" spans="1:14" x14ac:dyDescent="0.2">
      <c r="A157" s="2">
        <v>405598</v>
      </c>
      <c r="C157" s="2" t="str">
        <f t="shared" si="2"/>
        <v>405598</v>
      </c>
      <c r="D157" s="3" t="s">
        <v>235</v>
      </c>
      <c r="E157" s="2">
        <v>303485</v>
      </c>
      <c r="F157" s="3" t="s">
        <v>234</v>
      </c>
      <c r="G157" s="2">
        <v>72</v>
      </c>
      <c r="H157" s="2">
        <v>97</v>
      </c>
      <c r="I157" s="2" t="s">
        <v>70</v>
      </c>
      <c r="J157" s="2">
        <v>0.5</v>
      </c>
      <c r="K157" s="7">
        <v>8</v>
      </c>
      <c r="L157" s="2">
        <v>2820</v>
      </c>
      <c r="M157" s="2">
        <v>2113</v>
      </c>
      <c r="N157" s="1" t="s">
        <v>233</v>
      </c>
    </row>
    <row r="158" spans="1:14" x14ac:dyDescent="0.2">
      <c r="A158" s="2">
        <v>405599</v>
      </c>
      <c r="C158" s="2" t="str">
        <f t="shared" si="2"/>
        <v>405599</v>
      </c>
      <c r="D158" s="3" t="s">
        <v>231</v>
      </c>
      <c r="E158" s="2">
        <v>304025</v>
      </c>
      <c r="F158" s="3" t="s">
        <v>230</v>
      </c>
      <c r="G158" s="2">
        <v>72</v>
      </c>
      <c r="H158" s="2">
        <v>97</v>
      </c>
      <c r="I158" s="2" t="s">
        <v>70</v>
      </c>
      <c r="J158" s="2">
        <v>0.5</v>
      </c>
      <c r="K158" s="7">
        <v>13</v>
      </c>
      <c r="L158" s="2">
        <v>2820</v>
      </c>
      <c r="M158" s="2">
        <v>2113</v>
      </c>
      <c r="N158" s="1" t="s">
        <v>232</v>
      </c>
    </row>
    <row r="159" spans="1:14" x14ac:dyDescent="0.2">
      <c r="A159" s="2">
        <v>405599</v>
      </c>
      <c r="B159" s="2">
        <v>1</v>
      </c>
      <c r="C159" s="2" t="str">
        <f t="shared" si="2"/>
        <v>4055991</v>
      </c>
      <c r="D159" s="3" t="s">
        <v>231</v>
      </c>
      <c r="E159" s="2">
        <v>304025</v>
      </c>
      <c r="F159" s="3" t="s">
        <v>230</v>
      </c>
      <c r="G159" s="2">
        <v>72</v>
      </c>
      <c r="H159" s="2">
        <v>97</v>
      </c>
      <c r="I159" s="2" t="s">
        <v>70</v>
      </c>
      <c r="J159" s="2">
        <v>0.5</v>
      </c>
      <c r="K159" s="7">
        <v>13</v>
      </c>
      <c r="L159" s="2">
        <v>2820</v>
      </c>
      <c r="M159" s="2">
        <v>2113</v>
      </c>
      <c r="N159" s="1" t="s">
        <v>229</v>
      </c>
    </row>
    <row r="160" spans="1:14" x14ac:dyDescent="0.2">
      <c r="A160" s="2">
        <v>405510</v>
      </c>
      <c r="B160" s="2">
        <v>9</v>
      </c>
      <c r="C160" s="2" t="str">
        <f t="shared" si="2"/>
        <v>4055109</v>
      </c>
      <c r="D160" s="3" t="s">
        <v>228</v>
      </c>
      <c r="E160" s="2">
        <v>302380</v>
      </c>
      <c r="F160" s="3" t="s">
        <v>225</v>
      </c>
      <c r="G160" s="2">
        <v>65</v>
      </c>
      <c r="H160" s="2">
        <v>96.5</v>
      </c>
      <c r="I160" s="2" t="s">
        <v>44</v>
      </c>
      <c r="J160" s="2">
        <v>0.5</v>
      </c>
      <c r="K160" s="7">
        <v>31</v>
      </c>
      <c r="L160" s="2">
        <v>2400</v>
      </c>
      <c r="M160" s="2">
        <v>2111</v>
      </c>
      <c r="N160" s="1" t="s">
        <v>227</v>
      </c>
    </row>
    <row r="161" spans="1:14" x14ac:dyDescent="0.2">
      <c r="A161" s="2">
        <v>300080</v>
      </c>
      <c r="B161" s="2">
        <v>9</v>
      </c>
      <c r="C161" s="2" t="str">
        <f t="shared" si="2"/>
        <v>3000809</v>
      </c>
      <c r="D161" s="3" t="s">
        <v>214</v>
      </c>
      <c r="E161" s="2">
        <v>300493</v>
      </c>
      <c r="F161" s="3" t="s">
        <v>226</v>
      </c>
      <c r="G161" s="2">
        <v>75</v>
      </c>
      <c r="H161" s="2">
        <v>96</v>
      </c>
      <c r="I161" s="2" t="s">
        <v>44</v>
      </c>
      <c r="J161" s="2">
        <v>0.5</v>
      </c>
      <c r="K161" s="7">
        <v>28</v>
      </c>
      <c r="L161" s="2">
        <v>2470</v>
      </c>
      <c r="M161" s="2">
        <v>2118</v>
      </c>
      <c r="N161" s="1" t="s">
        <v>203</v>
      </c>
    </row>
    <row r="162" spans="1:14" x14ac:dyDescent="0.2">
      <c r="A162" s="2">
        <v>300082</v>
      </c>
      <c r="B162" s="2">
        <v>9</v>
      </c>
      <c r="C162" s="2" t="str">
        <f t="shared" si="2"/>
        <v>3000829</v>
      </c>
      <c r="D162" s="3" t="s">
        <v>213</v>
      </c>
      <c r="E162" s="2">
        <v>300525</v>
      </c>
      <c r="F162" s="3" t="s">
        <v>223</v>
      </c>
      <c r="G162" s="2">
        <v>75</v>
      </c>
      <c r="H162" s="2">
        <v>96</v>
      </c>
      <c r="I162" s="2" t="s">
        <v>44</v>
      </c>
      <c r="J162" s="2">
        <v>0.5</v>
      </c>
      <c r="K162" s="7">
        <v>28</v>
      </c>
      <c r="L162" s="2">
        <v>2470</v>
      </c>
      <c r="M162" s="2">
        <v>2118</v>
      </c>
      <c r="N162" s="1" t="s">
        <v>203</v>
      </c>
    </row>
    <row r="163" spans="1:14" x14ac:dyDescent="0.2">
      <c r="A163" s="2">
        <v>300083</v>
      </c>
      <c r="B163" s="2">
        <v>9</v>
      </c>
      <c r="C163" s="2" t="str">
        <f t="shared" si="2"/>
        <v>3000839</v>
      </c>
      <c r="D163" s="3" t="s">
        <v>212</v>
      </c>
      <c r="E163" s="2">
        <v>300493</v>
      </c>
      <c r="F163" s="3" t="s">
        <v>226</v>
      </c>
      <c r="G163" s="2">
        <v>72</v>
      </c>
      <c r="H163" s="2">
        <v>96</v>
      </c>
      <c r="I163" s="2" t="s">
        <v>44</v>
      </c>
      <c r="J163" s="2">
        <v>0.5</v>
      </c>
      <c r="K163" s="7">
        <v>30</v>
      </c>
      <c r="L163" s="2">
        <v>2470</v>
      </c>
      <c r="M163" s="2">
        <v>2118</v>
      </c>
      <c r="N163" s="1" t="s">
        <v>203</v>
      </c>
    </row>
    <row r="164" spans="1:14" x14ac:dyDescent="0.2">
      <c r="A164" s="2">
        <v>300085</v>
      </c>
      <c r="B164" s="2">
        <v>9</v>
      </c>
      <c r="C164" s="2" t="str">
        <f t="shared" si="2"/>
        <v>3000859</v>
      </c>
      <c r="D164" s="3" t="s">
        <v>211</v>
      </c>
      <c r="E164" s="2">
        <v>300525</v>
      </c>
      <c r="F164" s="3" t="s">
        <v>223</v>
      </c>
      <c r="G164" s="2">
        <v>72</v>
      </c>
      <c r="H164" s="2">
        <v>96</v>
      </c>
      <c r="I164" s="2" t="s">
        <v>44</v>
      </c>
      <c r="J164" s="2">
        <v>0.5</v>
      </c>
      <c r="K164" s="7">
        <v>30</v>
      </c>
      <c r="L164" s="2">
        <v>2470</v>
      </c>
      <c r="M164" s="2">
        <v>2118</v>
      </c>
      <c r="N164" s="1" t="s">
        <v>203</v>
      </c>
    </row>
    <row r="165" spans="1:14" x14ac:dyDescent="0.2">
      <c r="A165" s="2">
        <v>300086</v>
      </c>
      <c r="B165" s="2">
        <v>9</v>
      </c>
      <c r="C165" s="2" t="str">
        <f t="shared" si="2"/>
        <v>3000869</v>
      </c>
      <c r="D165" s="3" t="s">
        <v>210</v>
      </c>
      <c r="E165" s="2">
        <v>302380</v>
      </c>
      <c r="F165" s="3" t="s">
        <v>225</v>
      </c>
      <c r="G165" s="2">
        <v>65</v>
      </c>
      <c r="H165" s="2">
        <v>96</v>
      </c>
      <c r="I165" s="2" t="s">
        <v>44</v>
      </c>
      <c r="J165" s="2">
        <v>0.5</v>
      </c>
      <c r="K165" s="7">
        <v>31</v>
      </c>
      <c r="L165" s="2">
        <v>2400</v>
      </c>
      <c r="M165" s="2">
        <v>2118</v>
      </c>
      <c r="N165" s="1" t="s">
        <v>203</v>
      </c>
    </row>
    <row r="166" spans="1:14" x14ac:dyDescent="0.2">
      <c r="A166" s="2">
        <v>300087</v>
      </c>
      <c r="B166" s="2">
        <v>9</v>
      </c>
      <c r="C166" s="2" t="str">
        <f t="shared" si="2"/>
        <v>3000879</v>
      </c>
      <c r="D166" s="3" t="s">
        <v>209</v>
      </c>
      <c r="E166" s="2">
        <v>300525</v>
      </c>
      <c r="F166" s="3" t="s">
        <v>223</v>
      </c>
      <c r="G166" s="2">
        <v>65</v>
      </c>
      <c r="H166" s="2">
        <v>96</v>
      </c>
      <c r="I166" s="2" t="s">
        <v>44</v>
      </c>
      <c r="J166" s="2">
        <v>0.5</v>
      </c>
      <c r="K166" s="7">
        <v>31</v>
      </c>
      <c r="L166" s="2">
        <v>2400</v>
      </c>
      <c r="M166" s="2">
        <v>2118</v>
      </c>
      <c r="N166" s="1" t="s">
        <v>203</v>
      </c>
    </row>
    <row r="167" spans="1:14" x14ac:dyDescent="0.2">
      <c r="A167" s="2">
        <v>300088</v>
      </c>
      <c r="B167" s="2">
        <v>9</v>
      </c>
      <c r="C167" s="2" t="str">
        <f t="shared" si="2"/>
        <v>3000889</v>
      </c>
      <c r="D167" s="3" t="s">
        <v>208</v>
      </c>
      <c r="E167" s="2">
        <v>302380</v>
      </c>
      <c r="F167" s="3" t="s">
        <v>225</v>
      </c>
      <c r="G167" s="2">
        <v>65</v>
      </c>
      <c r="H167" s="2">
        <v>96</v>
      </c>
      <c r="I167" s="2" t="s">
        <v>44</v>
      </c>
      <c r="J167" s="2">
        <v>0.5</v>
      </c>
      <c r="K167" s="7">
        <v>35</v>
      </c>
      <c r="L167" s="2">
        <v>2400</v>
      </c>
      <c r="M167" s="2">
        <v>2118</v>
      </c>
      <c r="N167" s="1" t="s">
        <v>203</v>
      </c>
    </row>
    <row r="168" spans="1:14" x14ac:dyDescent="0.2">
      <c r="A168" s="2">
        <v>300090</v>
      </c>
      <c r="B168" s="2">
        <v>9</v>
      </c>
      <c r="C168" s="2" t="str">
        <f t="shared" si="2"/>
        <v>3000909</v>
      </c>
      <c r="D168" s="3" t="s">
        <v>207</v>
      </c>
      <c r="E168" s="2">
        <v>300525</v>
      </c>
      <c r="F168" s="3" t="s">
        <v>223</v>
      </c>
      <c r="G168" s="2">
        <v>75</v>
      </c>
      <c r="H168" s="2">
        <v>96</v>
      </c>
      <c r="I168" s="2" t="s">
        <v>44</v>
      </c>
      <c r="J168" s="2">
        <v>0.5</v>
      </c>
      <c r="K168" s="7">
        <v>35</v>
      </c>
      <c r="L168" s="2">
        <v>2400</v>
      </c>
      <c r="M168" s="2">
        <v>2118</v>
      </c>
      <c r="N168" s="1" t="s">
        <v>203</v>
      </c>
    </row>
    <row r="169" spans="1:14" x14ac:dyDescent="0.2">
      <c r="A169" s="2">
        <v>300946</v>
      </c>
      <c r="B169" s="2">
        <v>9</v>
      </c>
      <c r="C169" s="2" t="str">
        <f t="shared" si="2"/>
        <v>3009469</v>
      </c>
      <c r="D169" s="3" t="s">
        <v>206</v>
      </c>
      <c r="E169" s="2">
        <v>302380</v>
      </c>
      <c r="F169" s="3" t="s">
        <v>225</v>
      </c>
      <c r="G169" s="2">
        <v>65</v>
      </c>
      <c r="H169" s="2">
        <v>96</v>
      </c>
      <c r="I169" s="2" t="s">
        <v>44</v>
      </c>
      <c r="J169" s="2">
        <v>0.5</v>
      </c>
      <c r="K169" s="7">
        <v>36</v>
      </c>
      <c r="L169" s="2">
        <v>2400</v>
      </c>
      <c r="M169" s="2">
        <v>2118</v>
      </c>
      <c r="N169" s="1" t="s">
        <v>224</v>
      </c>
    </row>
    <row r="170" spans="1:14" x14ac:dyDescent="0.2">
      <c r="A170" s="2">
        <v>300092</v>
      </c>
      <c r="B170" s="2">
        <v>9</v>
      </c>
      <c r="C170" s="2" t="str">
        <f t="shared" si="2"/>
        <v>3000929</v>
      </c>
      <c r="D170" s="3" t="s">
        <v>204</v>
      </c>
      <c r="E170" s="2">
        <v>300525</v>
      </c>
      <c r="F170" s="3" t="s">
        <v>223</v>
      </c>
      <c r="G170" s="2">
        <v>75</v>
      </c>
      <c r="H170" s="2">
        <v>96</v>
      </c>
      <c r="I170" s="2" t="s">
        <v>44</v>
      </c>
      <c r="J170" s="2">
        <v>0.5</v>
      </c>
      <c r="K170" s="7">
        <v>36</v>
      </c>
      <c r="L170" s="2">
        <v>2400</v>
      </c>
      <c r="M170" s="2">
        <v>2118</v>
      </c>
      <c r="N170" s="1" t="s">
        <v>203</v>
      </c>
    </row>
    <row r="171" spans="1:14" x14ac:dyDescent="0.2">
      <c r="A171" s="2">
        <v>300071</v>
      </c>
      <c r="C171" s="2" t="str">
        <f t="shared" si="2"/>
        <v>300071</v>
      </c>
      <c r="D171" s="3" t="s">
        <v>222</v>
      </c>
      <c r="E171" s="2">
        <v>303460</v>
      </c>
      <c r="F171" s="3" t="s">
        <v>205</v>
      </c>
      <c r="G171" s="2">
        <v>72</v>
      </c>
      <c r="H171" s="2">
        <v>96</v>
      </c>
      <c r="I171" s="2" t="s">
        <v>44</v>
      </c>
      <c r="J171" s="2">
        <v>0.5</v>
      </c>
      <c r="K171" s="7">
        <v>25</v>
      </c>
      <c r="L171" s="2">
        <v>2400</v>
      </c>
      <c r="M171" s="2">
        <v>2118</v>
      </c>
      <c r="N171" s="1" t="s">
        <v>203</v>
      </c>
    </row>
    <row r="172" spans="1:14" x14ac:dyDescent="0.2">
      <c r="A172" s="2">
        <v>300073</v>
      </c>
      <c r="C172" s="2" t="str">
        <f t="shared" si="2"/>
        <v>300073</v>
      </c>
      <c r="D172" s="3" t="s">
        <v>221</v>
      </c>
      <c r="E172" s="2">
        <v>303463</v>
      </c>
      <c r="F172" s="3" t="s">
        <v>86</v>
      </c>
      <c r="G172" s="2">
        <v>72</v>
      </c>
      <c r="H172" s="2">
        <v>96</v>
      </c>
      <c r="I172" s="2" t="s">
        <v>44</v>
      </c>
      <c r="J172" s="2">
        <v>0.5</v>
      </c>
      <c r="K172" s="7">
        <v>25</v>
      </c>
      <c r="L172" s="2">
        <v>2720</v>
      </c>
      <c r="M172" s="2">
        <v>2118</v>
      </c>
      <c r="N172" s="1" t="s">
        <v>203</v>
      </c>
    </row>
    <row r="173" spans="1:14" x14ac:dyDescent="0.2">
      <c r="A173" s="2">
        <v>300074</v>
      </c>
      <c r="C173" s="2" t="str">
        <f t="shared" si="2"/>
        <v>300074</v>
      </c>
      <c r="D173" s="3" t="s">
        <v>220</v>
      </c>
      <c r="E173" s="2">
        <v>303460</v>
      </c>
      <c r="F173" s="3" t="s">
        <v>205</v>
      </c>
      <c r="G173" s="2">
        <v>72</v>
      </c>
      <c r="H173" s="2">
        <v>96</v>
      </c>
      <c r="I173" s="2" t="s">
        <v>44</v>
      </c>
      <c r="J173" s="2">
        <v>0.5</v>
      </c>
      <c r="K173" s="7">
        <v>26</v>
      </c>
      <c r="L173" s="2">
        <v>2820</v>
      </c>
      <c r="M173" s="2">
        <v>2118</v>
      </c>
      <c r="N173" s="1" t="s">
        <v>203</v>
      </c>
    </row>
    <row r="174" spans="1:14" x14ac:dyDescent="0.2">
      <c r="A174" s="2">
        <v>300076</v>
      </c>
      <c r="C174" s="2" t="str">
        <f t="shared" si="2"/>
        <v>300076</v>
      </c>
      <c r="D174" s="3" t="s">
        <v>219</v>
      </c>
      <c r="E174" s="2">
        <v>303463</v>
      </c>
      <c r="F174" s="3" t="s">
        <v>86</v>
      </c>
      <c r="G174" s="2">
        <v>72</v>
      </c>
      <c r="H174" s="2">
        <v>96</v>
      </c>
      <c r="I174" s="2" t="s">
        <v>44</v>
      </c>
      <c r="J174" s="2">
        <v>0.5</v>
      </c>
      <c r="K174" s="7">
        <v>26</v>
      </c>
      <c r="L174" s="2">
        <v>2720</v>
      </c>
      <c r="M174" s="2">
        <v>2118</v>
      </c>
      <c r="N174" s="1" t="s">
        <v>203</v>
      </c>
    </row>
    <row r="175" spans="1:14" x14ac:dyDescent="0.2">
      <c r="A175" s="2">
        <v>300077</v>
      </c>
      <c r="C175" s="2" t="str">
        <f t="shared" si="2"/>
        <v>300077</v>
      </c>
      <c r="D175" s="3" t="s">
        <v>218</v>
      </c>
      <c r="E175" s="2">
        <v>303460</v>
      </c>
      <c r="F175" s="3" t="s">
        <v>205</v>
      </c>
      <c r="G175" s="2">
        <v>72</v>
      </c>
      <c r="H175" s="2">
        <v>96</v>
      </c>
      <c r="I175" s="2" t="s">
        <v>44</v>
      </c>
      <c r="J175" s="2">
        <v>0.5</v>
      </c>
      <c r="K175" s="7">
        <v>27</v>
      </c>
      <c r="L175" s="2">
        <v>2820</v>
      </c>
      <c r="M175" s="2">
        <v>2118</v>
      </c>
      <c r="N175" s="1" t="s">
        <v>203</v>
      </c>
    </row>
    <row r="176" spans="1:14" x14ac:dyDescent="0.2">
      <c r="A176" s="2">
        <v>300079</v>
      </c>
      <c r="C176" s="2" t="str">
        <f t="shared" si="2"/>
        <v>300079</v>
      </c>
      <c r="D176" s="3" t="s">
        <v>217</v>
      </c>
      <c r="E176" s="2">
        <v>303463</v>
      </c>
      <c r="F176" s="3" t="s">
        <v>86</v>
      </c>
      <c r="G176" s="2">
        <v>72</v>
      </c>
      <c r="H176" s="2">
        <v>96</v>
      </c>
      <c r="I176" s="2" t="s">
        <v>44</v>
      </c>
      <c r="J176" s="2">
        <v>0.5</v>
      </c>
      <c r="K176" s="7">
        <v>27</v>
      </c>
      <c r="L176" s="2">
        <v>2720</v>
      </c>
      <c r="M176" s="2">
        <v>2118</v>
      </c>
      <c r="N176" s="1" t="s">
        <v>203</v>
      </c>
    </row>
    <row r="177" spans="1:14" x14ac:dyDescent="0.2">
      <c r="A177" s="2">
        <v>403358</v>
      </c>
      <c r="C177" s="2" t="str">
        <f t="shared" si="2"/>
        <v>403358</v>
      </c>
      <c r="D177" s="3" t="s">
        <v>216</v>
      </c>
      <c r="E177" s="2">
        <v>303460</v>
      </c>
      <c r="F177" s="3" t="s">
        <v>205</v>
      </c>
      <c r="G177" s="2">
        <v>75</v>
      </c>
      <c r="H177" s="2">
        <v>96</v>
      </c>
      <c r="I177" s="2" t="s">
        <v>44</v>
      </c>
      <c r="J177" s="2">
        <v>0.5</v>
      </c>
      <c r="K177" s="7">
        <v>28</v>
      </c>
      <c r="L177" s="2">
        <v>2820</v>
      </c>
      <c r="M177" s="2">
        <v>2111</v>
      </c>
      <c r="N177" s="1" t="s">
        <v>215</v>
      </c>
    </row>
    <row r="178" spans="1:14" x14ac:dyDescent="0.2">
      <c r="A178" s="2">
        <v>300080</v>
      </c>
      <c r="C178" s="2" t="str">
        <f t="shared" si="2"/>
        <v>300080</v>
      </c>
      <c r="D178" s="3" t="s">
        <v>214</v>
      </c>
      <c r="E178" s="2">
        <v>303460</v>
      </c>
      <c r="F178" s="3" t="s">
        <v>205</v>
      </c>
      <c r="G178" s="2">
        <v>75</v>
      </c>
      <c r="H178" s="2">
        <v>96</v>
      </c>
      <c r="I178" s="2" t="s">
        <v>44</v>
      </c>
      <c r="J178" s="2">
        <v>0.5</v>
      </c>
      <c r="K178" s="7">
        <v>28</v>
      </c>
      <c r="L178" s="2">
        <v>2790</v>
      </c>
      <c r="M178" s="2">
        <v>2118</v>
      </c>
      <c r="N178" s="1" t="s">
        <v>203</v>
      </c>
    </row>
    <row r="179" spans="1:14" x14ac:dyDescent="0.2">
      <c r="A179" s="2">
        <v>300082</v>
      </c>
      <c r="C179" s="2" t="str">
        <f t="shared" si="2"/>
        <v>300082</v>
      </c>
      <c r="D179" s="3" t="s">
        <v>213</v>
      </c>
      <c r="E179" s="2">
        <v>303463</v>
      </c>
      <c r="F179" s="3" t="s">
        <v>86</v>
      </c>
      <c r="G179" s="2">
        <v>75</v>
      </c>
      <c r="H179" s="2">
        <v>96</v>
      </c>
      <c r="I179" s="2" t="s">
        <v>44</v>
      </c>
      <c r="J179" s="2">
        <v>0.5</v>
      </c>
      <c r="K179" s="7">
        <v>28</v>
      </c>
      <c r="L179" s="2">
        <v>2790</v>
      </c>
      <c r="M179" s="2">
        <v>2118</v>
      </c>
      <c r="N179" s="1" t="s">
        <v>203</v>
      </c>
    </row>
    <row r="180" spans="1:14" x14ac:dyDescent="0.2">
      <c r="A180" s="2">
        <v>300083</v>
      </c>
      <c r="C180" s="2" t="str">
        <f t="shared" si="2"/>
        <v>300083</v>
      </c>
      <c r="D180" s="3" t="s">
        <v>212</v>
      </c>
      <c r="E180" s="2">
        <v>303460</v>
      </c>
      <c r="F180" s="3" t="s">
        <v>205</v>
      </c>
      <c r="G180" s="2">
        <v>72</v>
      </c>
      <c r="H180" s="2">
        <v>96</v>
      </c>
      <c r="I180" s="2" t="s">
        <v>44</v>
      </c>
      <c r="J180" s="2">
        <v>0.5</v>
      </c>
      <c r="K180" s="7">
        <v>30</v>
      </c>
      <c r="L180" s="2">
        <v>2820</v>
      </c>
      <c r="M180" s="2">
        <v>2118</v>
      </c>
      <c r="N180" s="1" t="s">
        <v>203</v>
      </c>
    </row>
    <row r="181" spans="1:14" x14ac:dyDescent="0.2">
      <c r="A181" s="2">
        <v>300085</v>
      </c>
      <c r="C181" s="2" t="str">
        <f t="shared" si="2"/>
        <v>300085</v>
      </c>
      <c r="D181" s="3" t="s">
        <v>211</v>
      </c>
      <c r="E181" s="2">
        <v>303463</v>
      </c>
      <c r="F181" s="3" t="s">
        <v>86</v>
      </c>
      <c r="G181" s="2">
        <v>72</v>
      </c>
      <c r="H181" s="2">
        <v>96</v>
      </c>
      <c r="I181" s="2" t="s">
        <v>44</v>
      </c>
      <c r="J181" s="2">
        <v>0.5</v>
      </c>
      <c r="K181" s="7">
        <v>30</v>
      </c>
      <c r="L181" s="2">
        <v>2790</v>
      </c>
      <c r="M181" s="2">
        <v>2118</v>
      </c>
      <c r="N181" s="1" t="s">
        <v>203</v>
      </c>
    </row>
    <row r="182" spans="1:14" x14ac:dyDescent="0.2">
      <c r="A182" s="2">
        <v>300086</v>
      </c>
      <c r="C182" s="2" t="str">
        <f t="shared" si="2"/>
        <v>300086</v>
      </c>
      <c r="D182" s="3" t="s">
        <v>210</v>
      </c>
      <c r="E182" s="2">
        <v>303460</v>
      </c>
      <c r="F182" s="3" t="s">
        <v>205</v>
      </c>
      <c r="G182" s="2">
        <v>65</v>
      </c>
      <c r="H182" s="2">
        <v>96</v>
      </c>
      <c r="I182" s="2" t="s">
        <v>44</v>
      </c>
      <c r="J182" s="2">
        <v>0.5</v>
      </c>
      <c r="K182" s="7">
        <v>31</v>
      </c>
      <c r="L182" s="2">
        <v>2820</v>
      </c>
      <c r="M182" s="2">
        <v>2118</v>
      </c>
      <c r="N182" s="1" t="s">
        <v>203</v>
      </c>
    </row>
    <row r="183" spans="1:14" x14ac:dyDescent="0.2">
      <c r="A183" s="2">
        <v>300087</v>
      </c>
      <c r="C183" s="2" t="str">
        <f t="shared" si="2"/>
        <v>300087</v>
      </c>
      <c r="D183" s="3" t="s">
        <v>209</v>
      </c>
      <c r="E183" s="2">
        <v>303463</v>
      </c>
      <c r="F183" s="3" t="s">
        <v>86</v>
      </c>
      <c r="G183" s="2">
        <v>65</v>
      </c>
      <c r="H183" s="2">
        <v>96</v>
      </c>
      <c r="I183" s="2" t="s">
        <v>44</v>
      </c>
      <c r="J183" s="2">
        <v>0.5</v>
      </c>
      <c r="K183" s="7">
        <v>31</v>
      </c>
      <c r="L183" s="2">
        <v>2820</v>
      </c>
      <c r="M183" s="2">
        <v>2118</v>
      </c>
      <c r="N183" s="1" t="s">
        <v>203</v>
      </c>
    </row>
    <row r="184" spans="1:14" x14ac:dyDescent="0.2">
      <c r="A184" s="2">
        <v>300088</v>
      </c>
      <c r="C184" s="2" t="str">
        <f t="shared" si="2"/>
        <v>300088</v>
      </c>
      <c r="D184" s="3" t="s">
        <v>208</v>
      </c>
      <c r="E184" s="2">
        <v>303460</v>
      </c>
      <c r="F184" s="3" t="s">
        <v>205</v>
      </c>
      <c r="G184" s="2">
        <v>75</v>
      </c>
      <c r="H184" s="2">
        <v>96</v>
      </c>
      <c r="I184" s="2" t="s">
        <v>44</v>
      </c>
      <c r="J184" s="2">
        <v>0.5</v>
      </c>
      <c r="K184" s="7">
        <v>35</v>
      </c>
      <c r="L184" s="2">
        <v>2820</v>
      </c>
      <c r="M184" s="2">
        <v>2118</v>
      </c>
      <c r="N184" s="1" t="s">
        <v>203</v>
      </c>
    </row>
    <row r="185" spans="1:14" x14ac:dyDescent="0.2">
      <c r="A185" s="2">
        <v>300090</v>
      </c>
      <c r="C185" s="2" t="str">
        <f t="shared" si="2"/>
        <v>300090</v>
      </c>
      <c r="D185" s="3" t="s">
        <v>207</v>
      </c>
      <c r="E185" s="2">
        <v>303463</v>
      </c>
      <c r="F185" s="3" t="s">
        <v>86</v>
      </c>
      <c r="G185" s="2">
        <v>75</v>
      </c>
      <c r="H185" s="2">
        <v>96</v>
      </c>
      <c r="I185" s="2" t="s">
        <v>44</v>
      </c>
      <c r="J185" s="2">
        <v>0.5</v>
      </c>
      <c r="K185" s="7">
        <v>35</v>
      </c>
      <c r="L185" s="2">
        <v>2790</v>
      </c>
      <c r="M185" s="2">
        <v>2118</v>
      </c>
      <c r="N185" s="1" t="s">
        <v>203</v>
      </c>
    </row>
    <row r="186" spans="1:14" x14ac:dyDescent="0.2">
      <c r="A186" s="2">
        <v>300946</v>
      </c>
      <c r="C186" s="2" t="str">
        <f t="shared" si="2"/>
        <v>300946</v>
      </c>
      <c r="D186" s="3" t="s">
        <v>206</v>
      </c>
      <c r="E186" s="2">
        <v>303460</v>
      </c>
      <c r="F186" s="3" t="s">
        <v>205</v>
      </c>
      <c r="G186" s="2">
        <v>75</v>
      </c>
      <c r="H186" s="2">
        <v>96</v>
      </c>
      <c r="I186" s="2" t="s">
        <v>44</v>
      </c>
      <c r="J186" s="2">
        <v>0.5</v>
      </c>
      <c r="K186" s="7">
        <v>36</v>
      </c>
      <c r="L186" s="2">
        <v>2820</v>
      </c>
      <c r="M186" s="2">
        <v>2118</v>
      </c>
      <c r="N186" s="1" t="s">
        <v>203</v>
      </c>
    </row>
    <row r="187" spans="1:14" x14ac:dyDescent="0.2">
      <c r="A187" s="2">
        <v>300092</v>
      </c>
      <c r="C187" s="2" t="str">
        <f t="shared" si="2"/>
        <v>300092</v>
      </c>
      <c r="D187" s="3" t="s">
        <v>204</v>
      </c>
      <c r="E187" s="2">
        <v>303463</v>
      </c>
      <c r="F187" s="3" t="s">
        <v>86</v>
      </c>
      <c r="G187" s="2">
        <v>75</v>
      </c>
      <c r="H187" s="2">
        <v>96</v>
      </c>
      <c r="I187" s="2" t="s">
        <v>44</v>
      </c>
      <c r="J187" s="2">
        <v>0.5</v>
      </c>
      <c r="K187" s="7">
        <v>36</v>
      </c>
      <c r="L187" s="2">
        <v>2790</v>
      </c>
      <c r="M187" s="2">
        <v>2118</v>
      </c>
      <c r="N187" s="1" t="s">
        <v>203</v>
      </c>
    </row>
    <row r="188" spans="1:14" ht="15" x14ac:dyDescent="0.25">
      <c r="A188" s="2">
        <v>301050</v>
      </c>
      <c r="C188" s="2" t="str">
        <f t="shared" si="2"/>
        <v>301050</v>
      </c>
      <c r="D188" s="24" t="s">
        <v>202</v>
      </c>
      <c r="E188" s="12">
        <v>303551</v>
      </c>
      <c r="F188" s="3" t="s">
        <v>178</v>
      </c>
      <c r="G188" s="2">
        <v>75</v>
      </c>
      <c r="H188" s="2">
        <v>97.3</v>
      </c>
      <c r="I188" s="2" t="s">
        <v>92</v>
      </c>
      <c r="J188" s="2">
        <v>0.75</v>
      </c>
      <c r="K188" s="7">
        <v>31</v>
      </c>
      <c r="L188" s="2">
        <v>2735</v>
      </c>
      <c r="M188" s="2">
        <v>2118</v>
      </c>
      <c r="N188" s="1" t="s">
        <v>201</v>
      </c>
    </row>
    <row r="189" spans="1:14" x14ac:dyDescent="0.2">
      <c r="A189" s="2">
        <v>302493</v>
      </c>
      <c r="B189" s="2" t="s">
        <v>200</v>
      </c>
      <c r="C189" s="2" t="str">
        <f t="shared" si="2"/>
        <v>302493x</v>
      </c>
      <c r="D189" s="3" t="s">
        <v>129</v>
      </c>
      <c r="E189" s="2">
        <v>302580</v>
      </c>
      <c r="F189" s="3" t="s">
        <v>199</v>
      </c>
      <c r="G189" s="2">
        <v>75</v>
      </c>
      <c r="H189" s="2">
        <v>97.3</v>
      </c>
      <c r="I189" s="2" t="s">
        <v>92</v>
      </c>
      <c r="J189" s="2">
        <v>0.75</v>
      </c>
      <c r="K189" s="7">
        <v>31</v>
      </c>
      <c r="L189" s="2" t="s">
        <v>198</v>
      </c>
      <c r="M189" s="2">
        <v>2118</v>
      </c>
      <c r="N189" s="1" t="s">
        <v>125</v>
      </c>
    </row>
    <row r="190" spans="1:14" x14ac:dyDescent="0.2">
      <c r="A190" s="2">
        <v>302865</v>
      </c>
      <c r="B190" s="2">
        <v>9</v>
      </c>
      <c r="C190" s="2" t="str">
        <f t="shared" si="2"/>
        <v>3028659</v>
      </c>
      <c r="D190" s="3" t="s">
        <v>197</v>
      </c>
      <c r="E190" s="2">
        <v>302860</v>
      </c>
      <c r="F190" s="3" t="s">
        <v>186</v>
      </c>
      <c r="G190" s="2">
        <v>70</v>
      </c>
      <c r="H190" s="2">
        <v>96.5</v>
      </c>
      <c r="I190" s="2" t="s">
        <v>92</v>
      </c>
      <c r="J190" s="2">
        <v>0.75</v>
      </c>
      <c r="K190" s="7">
        <v>36</v>
      </c>
      <c r="L190" s="2">
        <v>2480</v>
      </c>
      <c r="M190" s="2">
        <v>2118</v>
      </c>
      <c r="N190" s="1" t="s">
        <v>185</v>
      </c>
    </row>
    <row r="191" spans="1:14" x14ac:dyDescent="0.2">
      <c r="A191" s="2">
        <v>302864</v>
      </c>
      <c r="B191" s="2">
        <v>9</v>
      </c>
      <c r="C191" s="2" t="str">
        <f t="shared" si="2"/>
        <v>3028649</v>
      </c>
      <c r="D191" s="3" t="s">
        <v>196</v>
      </c>
      <c r="E191" s="2">
        <v>302860</v>
      </c>
      <c r="F191" s="3" t="s">
        <v>186</v>
      </c>
      <c r="G191" s="2">
        <v>70</v>
      </c>
      <c r="H191" s="2">
        <v>96.6</v>
      </c>
      <c r="I191" s="2" t="s">
        <v>92</v>
      </c>
      <c r="J191" s="2">
        <v>0.75</v>
      </c>
      <c r="K191" s="7">
        <v>33</v>
      </c>
      <c r="L191" s="2">
        <v>2480</v>
      </c>
      <c r="M191" s="2">
        <v>2118</v>
      </c>
      <c r="N191" s="1" t="s">
        <v>185</v>
      </c>
    </row>
    <row r="192" spans="1:14" x14ac:dyDescent="0.2">
      <c r="A192" s="2">
        <v>302863</v>
      </c>
      <c r="B192" s="2">
        <v>9</v>
      </c>
      <c r="C192" s="2" t="str">
        <f t="shared" si="2"/>
        <v>3028639</v>
      </c>
      <c r="D192" s="3" t="s">
        <v>195</v>
      </c>
      <c r="E192" s="2">
        <v>302860</v>
      </c>
      <c r="F192" s="3" t="s">
        <v>186</v>
      </c>
      <c r="G192" s="2">
        <v>75</v>
      </c>
      <c r="H192" s="2">
        <v>96.5</v>
      </c>
      <c r="I192" s="2" t="s">
        <v>92</v>
      </c>
      <c r="J192" s="2">
        <v>0.75</v>
      </c>
      <c r="K192" s="7">
        <v>30</v>
      </c>
      <c r="L192" s="2">
        <v>2420</v>
      </c>
      <c r="M192" s="2">
        <v>2118</v>
      </c>
      <c r="N192" s="1" t="s">
        <v>185</v>
      </c>
    </row>
    <row r="193" spans="1:14" x14ac:dyDescent="0.2">
      <c r="A193" s="2">
        <v>302862</v>
      </c>
      <c r="B193" s="2">
        <v>9</v>
      </c>
      <c r="C193" s="2" t="str">
        <f t="shared" si="2"/>
        <v>3028629</v>
      </c>
      <c r="D193" s="3" t="s">
        <v>194</v>
      </c>
      <c r="E193" s="2">
        <v>302860</v>
      </c>
      <c r="F193" s="3" t="s">
        <v>186</v>
      </c>
      <c r="G193" s="2">
        <v>75</v>
      </c>
      <c r="H193" s="2">
        <v>96.6</v>
      </c>
      <c r="I193" s="2" t="s">
        <v>92</v>
      </c>
      <c r="J193" s="2">
        <v>0.75</v>
      </c>
      <c r="K193" s="7">
        <v>28</v>
      </c>
      <c r="L193" s="2">
        <v>2445</v>
      </c>
      <c r="M193" s="2">
        <v>2118</v>
      </c>
      <c r="N193" s="1" t="s">
        <v>185</v>
      </c>
    </row>
    <row r="194" spans="1:14" x14ac:dyDescent="0.2">
      <c r="A194" s="2">
        <v>303270</v>
      </c>
      <c r="B194" s="2">
        <v>9</v>
      </c>
      <c r="C194" s="2" t="str">
        <f t="shared" si="2"/>
        <v>3032709</v>
      </c>
      <c r="D194" s="3" t="s">
        <v>193</v>
      </c>
      <c r="E194" s="10">
        <v>303260</v>
      </c>
      <c r="F194" s="3" t="s">
        <v>192</v>
      </c>
      <c r="G194" s="2">
        <v>75</v>
      </c>
      <c r="H194" s="2">
        <v>96.6</v>
      </c>
      <c r="I194" s="2" t="s">
        <v>92</v>
      </c>
      <c r="J194" s="2">
        <v>0.75</v>
      </c>
      <c r="K194" s="7">
        <v>28</v>
      </c>
      <c r="L194" s="2">
        <v>2470</v>
      </c>
      <c r="M194" s="2">
        <v>2118</v>
      </c>
      <c r="N194" s="1" t="s">
        <v>191</v>
      </c>
    </row>
    <row r="195" spans="1:14" ht="15" x14ac:dyDescent="0.25">
      <c r="A195" s="2">
        <v>304101</v>
      </c>
      <c r="C195" s="2" t="str">
        <f t="shared" ref="C195:C258" si="3">+CONCATENATE(A195,B195)</f>
        <v>304101</v>
      </c>
      <c r="D195" s="3" t="s">
        <v>190</v>
      </c>
      <c r="E195" s="12">
        <v>304026</v>
      </c>
      <c r="F195" s="3" t="s">
        <v>189</v>
      </c>
      <c r="G195" s="2">
        <v>70</v>
      </c>
      <c r="H195" s="2">
        <v>96.6</v>
      </c>
      <c r="I195" s="2" t="s">
        <v>92</v>
      </c>
      <c r="J195" s="2">
        <v>0.75</v>
      </c>
      <c r="K195" s="7">
        <v>33</v>
      </c>
      <c r="L195" s="2">
        <v>2650</v>
      </c>
      <c r="M195" s="2">
        <v>2118</v>
      </c>
      <c r="N195" s="4" t="s">
        <v>188</v>
      </c>
    </row>
    <row r="196" spans="1:14" x14ac:dyDescent="0.2">
      <c r="A196" s="2">
        <v>302861</v>
      </c>
      <c r="B196" s="2">
        <v>9</v>
      </c>
      <c r="C196" s="2" t="str">
        <f t="shared" si="3"/>
        <v>3028619</v>
      </c>
      <c r="D196" s="3" t="s">
        <v>187</v>
      </c>
      <c r="E196" s="2">
        <v>302860</v>
      </c>
      <c r="F196" s="3" t="s">
        <v>186</v>
      </c>
      <c r="G196" s="2">
        <v>75</v>
      </c>
      <c r="H196" s="2">
        <v>96.5</v>
      </c>
      <c r="I196" s="2" t="s">
        <v>92</v>
      </c>
      <c r="J196" s="2">
        <v>0.75</v>
      </c>
      <c r="K196" s="2">
        <v>27</v>
      </c>
      <c r="L196" s="2">
        <v>2480</v>
      </c>
      <c r="M196" s="2">
        <v>2118</v>
      </c>
      <c r="N196" s="4" t="s">
        <v>185</v>
      </c>
    </row>
    <row r="197" spans="1:14" x14ac:dyDescent="0.2">
      <c r="A197" s="2">
        <v>302219</v>
      </c>
      <c r="B197" s="2" t="s">
        <v>183</v>
      </c>
      <c r="C197" s="2" t="str">
        <f t="shared" si="3"/>
        <v>302219desc</v>
      </c>
      <c r="D197" s="3" t="s">
        <v>184</v>
      </c>
      <c r="E197" s="2">
        <v>303465</v>
      </c>
      <c r="F197" s="3" t="s">
        <v>181</v>
      </c>
      <c r="G197" s="2">
        <v>75</v>
      </c>
      <c r="H197" s="2">
        <v>96.6</v>
      </c>
      <c r="I197" s="2" t="s">
        <v>92</v>
      </c>
      <c r="J197" s="2">
        <v>0.75</v>
      </c>
      <c r="K197" s="2">
        <v>28</v>
      </c>
      <c r="L197" s="2">
        <v>2480</v>
      </c>
      <c r="M197" s="2">
        <v>2118</v>
      </c>
      <c r="N197" s="1" t="s">
        <v>147</v>
      </c>
    </row>
    <row r="198" spans="1:14" x14ac:dyDescent="0.2">
      <c r="A198" s="2">
        <v>303563</v>
      </c>
      <c r="B198" s="2" t="s">
        <v>183</v>
      </c>
      <c r="C198" s="2" t="str">
        <f t="shared" si="3"/>
        <v>303563desc</v>
      </c>
      <c r="D198" s="3" t="s">
        <v>182</v>
      </c>
      <c r="E198" s="2">
        <v>303465</v>
      </c>
      <c r="F198" s="3" t="s">
        <v>181</v>
      </c>
      <c r="G198" s="2">
        <v>75</v>
      </c>
      <c r="H198" s="2">
        <v>96.6</v>
      </c>
      <c r="I198" s="2" t="s">
        <v>92</v>
      </c>
      <c r="J198" s="2">
        <v>0.75</v>
      </c>
      <c r="K198" s="2">
        <v>28</v>
      </c>
      <c r="L198" s="2">
        <v>2700</v>
      </c>
      <c r="M198" s="2">
        <v>2118</v>
      </c>
      <c r="N198" s="1" t="s">
        <v>147</v>
      </c>
    </row>
    <row r="199" spans="1:14" ht="15" x14ac:dyDescent="0.25">
      <c r="A199" s="2">
        <v>303810</v>
      </c>
      <c r="C199" s="2" t="str">
        <f t="shared" si="3"/>
        <v>303810</v>
      </c>
      <c r="D199" s="3" t="s">
        <v>180</v>
      </c>
      <c r="E199" s="12">
        <v>303551</v>
      </c>
      <c r="F199" s="3" t="s">
        <v>178</v>
      </c>
      <c r="G199" s="2">
        <v>75</v>
      </c>
      <c r="H199" s="2">
        <v>96.6</v>
      </c>
      <c r="I199" s="2" t="s">
        <v>92</v>
      </c>
      <c r="J199" s="2">
        <v>0.75</v>
      </c>
      <c r="K199" s="7">
        <v>28</v>
      </c>
      <c r="L199" s="2">
        <v>2700</v>
      </c>
      <c r="M199" s="2">
        <v>2118</v>
      </c>
      <c r="N199" s="1" t="s">
        <v>147</v>
      </c>
    </row>
    <row r="200" spans="1:14" ht="15" x14ac:dyDescent="0.25">
      <c r="A200" s="2">
        <v>409170</v>
      </c>
      <c r="C200" s="2" t="str">
        <f t="shared" si="3"/>
        <v>409170</v>
      </c>
      <c r="D200" s="3" t="s">
        <v>179</v>
      </c>
      <c r="E200" s="12">
        <v>303551</v>
      </c>
      <c r="F200" s="3" t="s">
        <v>178</v>
      </c>
      <c r="G200" s="2">
        <v>75</v>
      </c>
      <c r="H200" s="2">
        <v>96.6</v>
      </c>
      <c r="I200" s="2" t="s">
        <v>92</v>
      </c>
      <c r="J200" s="2">
        <v>0.75</v>
      </c>
      <c r="K200" s="7">
        <v>28</v>
      </c>
      <c r="L200" s="2">
        <v>2780</v>
      </c>
      <c r="M200" s="2">
        <v>2111</v>
      </c>
      <c r="N200" s="1" t="s">
        <v>122</v>
      </c>
    </row>
    <row r="201" spans="1:14" ht="15" x14ac:dyDescent="0.25">
      <c r="A201" s="2">
        <v>302493</v>
      </c>
      <c r="C201" s="2" t="str">
        <f t="shared" si="3"/>
        <v>302493</v>
      </c>
      <c r="D201" s="3" t="s">
        <v>129</v>
      </c>
      <c r="E201" s="19">
        <v>303976</v>
      </c>
      <c r="F201" s="20" t="s">
        <v>177</v>
      </c>
      <c r="G201" s="2">
        <v>75</v>
      </c>
      <c r="H201" s="2">
        <v>97.3</v>
      </c>
      <c r="I201" s="2" t="s">
        <v>92</v>
      </c>
      <c r="J201" s="2">
        <v>0.75</v>
      </c>
      <c r="K201" s="7">
        <v>31</v>
      </c>
      <c r="L201" s="2">
        <v>2735</v>
      </c>
      <c r="M201" s="2">
        <v>2118</v>
      </c>
      <c r="N201" s="1" t="s">
        <v>147</v>
      </c>
    </row>
    <row r="202" spans="1:14" ht="15" x14ac:dyDescent="0.25">
      <c r="A202" s="2">
        <v>303963</v>
      </c>
      <c r="C202" s="2" t="str">
        <f t="shared" si="3"/>
        <v>303963</v>
      </c>
      <c r="D202" s="3" t="s">
        <v>176</v>
      </c>
      <c r="E202" s="19">
        <v>303978</v>
      </c>
      <c r="F202" s="20" t="s">
        <v>174</v>
      </c>
      <c r="G202" s="2">
        <v>75</v>
      </c>
      <c r="H202" s="2">
        <v>97.3</v>
      </c>
      <c r="I202" s="2" t="s">
        <v>92</v>
      </c>
      <c r="J202" s="2">
        <v>0.75</v>
      </c>
      <c r="K202" s="7">
        <v>31</v>
      </c>
      <c r="L202" s="2">
        <v>2735</v>
      </c>
      <c r="M202" s="2">
        <v>2118</v>
      </c>
      <c r="N202" s="1" t="s">
        <v>147</v>
      </c>
    </row>
    <row r="203" spans="1:14" ht="15" x14ac:dyDescent="0.25">
      <c r="A203" s="2">
        <v>409651</v>
      </c>
      <c r="C203" s="2" t="str">
        <f t="shared" si="3"/>
        <v>409651</v>
      </c>
      <c r="D203" s="3" t="s">
        <v>175</v>
      </c>
      <c r="E203" s="19">
        <v>303978</v>
      </c>
      <c r="F203" s="20" t="s">
        <v>174</v>
      </c>
      <c r="G203" s="2">
        <v>70</v>
      </c>
      <c r="H203" s="2">
        <v>97.3</v>
      </c>
      <c r="I203" s="2" t="s">
        <v>92</v>
      </c>
      <c r="J203" s="2">
        <v>0.75</v>
      </c>
      <c r="K203" s="7">
        <v>31</v>
      </c>
      <c r="L203" s="2">
        <v>2735</v>
      </c>
      <c r="M203" s="2">
        <v>2111</v>
      </c>
      <c r="N203" s="1" t="s">
        <v>144</v>
      </c>
    </row>
    <row r="204" spans="1:14" ht="15" x14ac:dyDescent="0.25">
      <c r="A204" s="2">
        <v>409430</v>
      </c>
      <c r="C204" s="2" t="str">
        <f t="shared" si="3"/>
        <v>409430</v>
      </c>
      <c r="D204" s="3" t="s">
        <v>173</v>
      </c>
      <c r="E204" s="19">
        <v>303990</v>
      </c>
      <c r="F204" s="20" t="s">
        <v>137</v>
      </c>
      <c r="G204" s="2">
        <v>75</v>
      </c>
      <c r="H204" s="2">
        <v>97.1</v>
      </c>
      <c r="I204" s="2" t="s">
        <v>92</v>
      </c>
      <c r="J204" s="2">
        <v>0.75</v>
      </c>
      <c r="K204" s="7">
        <v>38</v>
      </c>
      <c r="L204" s="2">
        <v>2820</v>
      </c>
      <c r="M204" s="2">
        <v>2111</v>
      </c>
      <c r="N204" s="1" t="s">
        <v>144</v>
      </c>
    </row>
    <row r="205" spans="1:14" ht="15.75" x14ac:dyDescent="0.3">
      <c r="A205" s="2">
        <v>303921</v>
      </c>
      <c r="C205" s="2" t="str">
        <f t="shared" si="3"/>
        <v>303921</v>
      </c>
      <c r="D205" s="23" t="s">
        <v>172</v>
      </c>
      <c r="E205" s="19">
        <v>303990</v>
      </c>
      <c r="F205" s="20" t="s">
        <v>137</v>
      </c>
      <c r="G205" s="2">
        <v>75</v>
      </c>
      <c r="H205" s="2">
        <v>97.1</v>
      </c>
      <c r="I205" s="2" t="s">
        <v>92</v>
      </c>
      <c r="J205" s="2">
        <v>0.75</v>
      </c>
      <c r="K205" s="7">
        <v>38</v>
      </c>
      <c r="L205" s="2">
        <v>2555</v>
      </c>
      <c r="M205" s="2">
        <v>2118</v>
      </c>
      <c r="N205" s="1" t="s">
        <v>147</v>
      </c>
    </row>
    <row r="206" spans="1:14" ht="15.75" x14ac:dyDescent="0.3">
      <c r="A206" s="2">
        <v>303964</v>
      </c>
      <c r="C206" s="2" t="str">
        <f t="shared" si="3"/>
        <v>303964</v>
      </c>
      <c r="D206" s="23" t="s">
        <v>171</v>
      </c>
      <c r="E206" s="19">
        <v>303975</v>
      </c>
      <c r="F206" s="20" t="s">
        <v>134</v>
      </c>
      <c r="G206" s="2">
        <v>75</v>
      </c>
      <c r="H206" s="2">
        <v>97.1</v>
      </c>
      <c r="I206" s="2" t="s">
        <v>92</v>
      </c>
      <c r="J206" s="2">
        <v>0.75</v>
      </c>
      <c r="K206" s="7">
        <v>38</v>
      </c>
      <c r="L206" s="2">
        <v>2555</v>
      </c>
      <c r="M206" s="2">
        <v>2118</v>
      </c>
      <c r="N206" s="1" t="s">
        <v>147</v>
      </c>
    </row>
    <row r="207" spans="1:14" ht="15.75" x14ac:dyDescent="0.3">
      <c r="A207" s="2">
        <v>303964</v>
      </c>
      <c r="B207" s="2" t="s">
        <v>2</v>
      </c>
      <c r="C207" s="2" t="str">
        <f t="shared" si="3"/>
        <v>303964a</v>
      </c>
      <c r="D207" s="23" t="s">
        <v>171</v>
      </c>
      <c r="E207" s="19">
        <v>304838</v>
      </c>
      <c r="F207" s="20" t="s">
        <v>170</v>
      </c>
      <c r="G207" s="2">
        <v>65</v>
      </c>
      <c r="H207" s="2">
        <v>97.1</v>
      </c>
      <c r="I207" s="2" t="s">
        <v>92</v>
      </c>
      <c r="J207" s="2">
        <v>0.75</v>
      </c>
      <c r="K207" s="7">
        <v>39</v>
      </c>
      <c r="L207" s="2">
        <v>3295</v>
      </c>
      <c r="M207" s="2">
        <v>2118</v>
      </c>
      <c r="N207" s="1" t="s">
        <v>169</v>
      </c>
    </row>
    <row r="208" spans="1:14" ht="15.75" x14ac:dyDescent="0.3">
      <c r="A208" s="2">
        <v>409654</v>
      </c>
      <c r="C208" s="2" t="str">
        <f t="shared" si="3"/>
        <v>409654</v>
      </c>
      <c r="D208" s="23" t="s">
        <v>168</v>
      </c>
      <c r="E208" s="19">
        <v>303975</v>
      </c>
      <c r="F208" s="20" t="s">
        <v>134</v>
      </c>
      <c r="G208" s="2">
        <v>72</v>
      </c>
      <c r="H208" s="2">
        <v>97.1</v>
      </c>
      <c r="I208" s="2" t="s">
        <v>92</v>
      </c>
      <c r="J208" s="2">
        <v>0.75</v>
      </c>
      <c r="K208" s="7">
        <v>38</v>
      </c>
      <c r="L208" s="2">
        <v>2555</v>
      </c>
      <c r="M208" s="2">
        <v>2111</v>
      </c>
      <c r="N208" s="1" t="s">
        <v>144</v>
      </c>
    </row>
    <row r="209" spans="1:14" ht="15.75" x14ac:dyDescent="0.3">
      <c r="A209" s="2">
        <v>304298</v>
      </c>
      <c r="C209" s="2" t="str">
        <f t="shared" si="3"/>
        <v>304298</v>
      </c>
      <c r="D209" s="23" t="s">
        <v>167</v>
      </c>
      <c r="E209" s="19">
        <v>303975</v>
      </c>
      <c r="F209" s="20" t="s">
        <v>134</v>
      </c>
      <c r="G209" s="2">
        <v>75</v>
      </c>
      <c r="H209" s="2">
        <v>97.1</v>
      </c>
      <c r="I209" s="2" t="s">
        <v>92</v>
      </c>
      <c r="J209" s="2">
        <v>0.75</v>
      </c>
      <c r="K209" s="7">
        <v>38</v>
      </c>
      <c r="L209" s="2">
        <v>2555</v>
      </c>
      <c r="M209" s="2">
        <v>2118</v>
      </c>
      <c r="N209" s="1" t="s">
        <v>166</v>
      </c>
    </row>
    <row r="210" spans="1:14" ht="15.75" x14ac:dyDescent="0.3">
      <c r="A210" s="2">
        <v>304299</v>
      </c>
      <c r="C210" s="2" t="str">
        <f t="shared" si="3"/>
        <v>304299</v>
      </c>
      <c r="D210" s="23" t="s">
        <v>165</v>
      </c>
      <c r="E210" s="19">
        <v>303975</v>
      </c>
      <c r="F210" s="20" t="s">
        <v>134</v>
      </c>
      <c r="G210" s="2">
        <v>75</v>
      </c>
      <c r="H210" s="2">
        <v>97.1</v>
      </c>
      <c r="I210" s="2" t="s">
        <v>92</v>
      </c>
      <c r="J210" s="2">
        <v>0.75</v>
      </c>
      <c r="K210" s="7">
        <v>38</v>
      </c>
      <c r="L210" s="2">
        <v>2555</v>
      </c>
      <c r="M210" s="2">
        <v>2118</v>
      </c>
      <c r="N210" s="1" t="s">
        <v>164</v>
      </c>
    </row>
    <row r="211" spans="1:14" ht="15.75" x14ac:dyDescent="0.3">
      <c r="A211" s="2">
        <v>304187</v>
      </c>
      <c r="C211" s="2" t="str">
        <f t="shared" si="3"/>
        <v>304187</v>
      </c>
      <c r="D211" s="23" t="s">
        <v>163</v>
      </c>
      <c r="E211" s="19">
        <v>303990</v>
      </c>
      <c r="F211" s="20" t="s">
        <v>137</v>
      </c>
      <c r="G211" s="2">
        <v>70</v>
      </c>
      <c r="H211" s="2">
        <v>97</v>
      </c>
      <c r="I211" s="2" t="s">
        <v>92</v>
      </c>
      <c r="J211" s="2">
        <v>0.75</v>
      </c>
      <c r="K211" s="7">
        <v>38</v>
      </c>
      <c r="L211" s="2">
        <v>2780</v>
      </c>
      <c r="M211" s="2">
        <v>2118</v>
      </c>
      <c r="N211" s="1" t="s">
        <v>147</v>
      </c>
    </row>
    <row r="212" spans="1:14" ht="15.75" x14ac:dyDescent="0.3">
      <c r="A212" s="2">
        <v>304250</v>
      </c>
      <c r="C212" s="2" t="str">
        <f t="shared" si="3"/>
        <v>304250</v>
      </c>
      <c r="D212" s="23" t="s">
        <v>162</v>
      </c>
      <c r="E212" s="19">
        <v>304241</v>
      </c>
      <c r="F212" s="20" t="s">
        <v>161</v>
      </c>
      <c r="G212" s="2">
        <v>70</v>
      </c>
      <c r="H212" s="2">
        <v>97</v>
      </c>
      <c r="I212" s="2" t="s">
        <v>92</v>
      </c>
      <c r="J212" s="2">
        <v>0.75</v>
      </c>
      <c r="K212" s="7">
        <v>38</v>
      </c>
      <c r="L212" s="2">
        <v>2780</v>
      </c>
      <c r="M212" s="2">
        <v>2118</v>
      </c>
      <c r="N212" s="1" t="s">
        <v>147</v>
      </c>
    </row>
    <row r="213" spans="1:14" ht="15.75" x14ac:dyDescent="0.25">
      <c r="A213" s="2">
        <v>304193</v>
      </c>
      <c r="C213" s="2" t="str">
        <f t="shared" si="3"/>
        <v>304193</v>
      </c>
      <c r="D213" s="18" t="s">
        <v>160</v>
      </c>
      <c r="E213" s="12">
        <v>304195</v>
      </c>
      <c r="F213" s="11" t="s">
        <v>114</v>
      </c>
      <c r="G213" s="2">
        <v>65</v>
      </c>
      <c r="H213" s="2">
        <v>96.5</v>
      </c>
      <c r="I213" s="2" t="s">
        <v>92</v>
      </c>
      <c r="J213" s="2">
        <v>0.75</v>
      </c>
      <c r="K213" s="7">
        <v>40</v>
      </c>
      <c r="L213" s="2">
        <v>2790</v>
      </c>
      <c r="M213" s="2">
        <v>2118</v>
      </c>
      <c r="N213" s="1" t="s">
        <v>96</v>
      </c>
    </row>
    <row r="214" spans="1:14" ht="15.75" x14ac:dyDescent="0.25">
      <c r="A214" s="2">
        <v>304319</v>
      </c>
      <c r="C214" s="2" t="str">
        <f t="shared" si="3"/>
        <v>304319</v>
      </c>
      <c r="D214" s="18" t="s">
        <v>159</v>
      </c>
      <c r="E214" s="12">
        <v>304195</v>
      </c>
      <c r="F214" s="11" t="s">
        <v>114</v>
      </c>
      <c r="G214" s="2">
        <v>65</v>
      </c>
      <c r="H214" s="2">
        <v>96.5</v>
      </c>
      <c r="I214" s="2" t="s">
        <v>92</v>
      </c>
      <c r="J214" s="2">
        <v>0.75</v>
      </c>
      <c r="K214" s="7">
        <v>40</v>
      </c>
      <c r="L214" s="2">
        <v>2620</v>
      </c>
      <c r="M214" s="2">
        <v>2118</v>
      </c>
      <c r="N214" s="1" t="s">
        <v>104</v>
      </c>
    </row>
    <row r="215" spans="1:14" ht="15.75" x14ac:dyDescent="0.25">
      <c r="A215" s="2">
        <v>304360</v>
      </c>
      <c r="C215" s="2" t="str">
        <f t="shared" si="3"/>
        <v>304360</v>
      </c>
      <c r="D215" s="18" t="s">
        <v>158</v>
      </c>
      <c r="E215" s="12">
        <v>304195</v>
      </c>
      <c r="F215" s="11" t="s">
        <v>114</v>
      </c>
      <c r="G215" s="2">
        <v>65</v>
      </c>
      <c r="H215" s="2">
        <v>96.5</v>
      </c>
      <c r="I215" s="2" t="s">
        <v>92</v>
      </c>
      <c r="J215" s="2">
        <v>0.75</v>
      </c>
      <c r="K215" s="7">
        <v>40</v>
      </c>
      <c r="L215" s="2">
        <v>2585</v>
      </c>
      <c r="M215" s="2">
        <v>2118</v>
      </c>
      <c r="N215" s="1" t="s">
        <v>104</v>
      </c>
    </row>
    <row r="216" spans="1:14" ht="15.75" x14ac:dyDescent="0.25">
      <c r="A216" s="2">
        <v>304574</v>
      </c>
      <c r="C216" s="2" t="str">
        <f t="shared" si="3"/>
        <v>304574</v>
      </c>
      <c r="D216" s="18" t="s">
        <v>157</v>
      </c>
      <c r="E216" s="12">
        <v>304195</v>
      </c>
      <c r="F216" s="11" t="s">
        <v>114</v>
      </c>
      <c r="G216" s="2">
        <v>65</v>
      </c>
      <c r="H216" s="2">
        <v>96.5</v>
      </c>
      <c r="I216" s="2" t="s">
        <v>92</v>
      </c>
      <c r="J216" s="2">
        <v>0.75</v>
      </c>
      <c r="K216" s="7">
        <v>40</v>
      </c>
      <c r="L216" s="2">
        <v>2700</v>
      </c>
      <c r="M216" s="2">
        <v>2118</v>
      </c>
      <c r="N216" s="1" t="s">
        <v>104</v>
      </c>
    </row>
    <row r="217" spans="1:14" ht="15.75" x14ac:dyDescent="0.25">
      <c r="A217" s="2">
        <v>304575</v>
      </c>
      <c r="C217" s="2" t="str">
        <f t="shared" si="3"/>
        <v>304575</v>
      </c>
      <c r="D217" s="18" t="s">
        <v>156</v>
      </c>
      <c r="E217" s="12">
        <v>304195</v>
      </c>
      <c r="F217" s="11" t="s">
        <v>114</v>
      </c>
      <c r="G217" s="2">
        <v>65</v>
      </c>
      <c r="H217" s="2">
        <v>96.5</v>
      </c>
      <c r="I217" s="2" t="s">
        <v>92</v>
      </c>
      <c r="J217" s="2">
        <v>0.75</v>
      </c>
      <c r="K217" s="7">
        <v>40</v>
      </c>
      <c r="L217" s="2">
        <v>2805</v>
      </c>
      <c r="M217" s="2">
        <v>2118</v>
      </c>
      <c r="N217" s="1" t="s">
        <v>104</v>
      </c>
    </row>
    <row r="218" spans="1:14" ht="15" x14ac:dyDescent="0.25">
      <c r="A218" s="9">
        <v>304577</v>
      </c>
      <c r="C218" s="2" t="str">
        <f t="shared" si="3"/>
        <v>304577</v>
      </c>
      <c r="D218" s="9" t="s">
        <v>155</v>
      </c>
      <c r="E218" s="12">
        <v>304195</v>
      </c>
      <c r="F218" s="11" t="s">
        <v>114</v>
      </c>
      <c r="G218" s="2">
        <v>68</v>
      </c>
      <c r="H218" s="2">
        <v>96.5</v>
      </c>
      <c r="I218" s="2" t="s">
        <v>92</v>
      </c>
      <c r="J218" s="2">
        <v>0.75</v>
      </c>
      <c r="K218" s="7">
        <v>40</v>
      </c>
      <c r="L218" s="2">
        <v>2665</v>
      </c>
      <c r="M218" s="2">
        <v>2118</v>
      </c>
      <c r="N218" s="1" t="s">
        <v>104</v>
      </c>
    </row>
    <row r="219" spans="1:14" ht="15" x14ac:dyDescent="0.25">
      <c r="A219" s="22">
        <v>304573</v>
      </c>
      <c r="C219" s="2" t="str">
        <f t="shared" si="3"/>
        <v>304573</v>
      </c>
      <c r="D219" s="9" t="s">
        <v>154</v>
      </c>
      <c r="E219" s="12">
        <v>304195</v>
      </c>
      <c r="F219" s="11" t="s">
        <v>114</v>
      </c>
      <c r="G219" s="2">
        <v>65</v>
      </c>
      <c r="H219" s="2">
        <v>96.5</v>
      </c>
      <c r="I219" s="2" t="s">
        <v>92</v>
      </c>
      <c r="J219" s="2">
        <v>0.75</v>
      </c>
      <c r="K219" s="7">
        <v>40</v>
      </c>
      <c r="L219" s="2">
        <v>2600</v>
      </c>
      <c r="M219" s="2">
        <v>2118</v>
      </c>
      <c r="N219" s="1" t="s">
        <v>104</v>
      </c>
    </row>
    <row r="220" spans="1:14" ht="15.75" x14ac:dyDescent="0.25">
      <c r="A220" s="2">
        <v>304474</v>
      </c>
      <c r="C220" s="2" t="str">
        <f t="shared" si="3"/>
        <v>304474</v>
      </c>
      <c r="D220" s="18" t="s">
        <v>153</v>
      </c>
      <c r="E220" s="12">
        <v>304195</v>
      </c>
      <c r="F220" s="11" t="s">
        <v>114</v>
      </c>
      <c r="G220" s="2">
        <v>65</v>
      </c>
      <c r="H220" s="2">
        <v>96.5</v>
      </c>
      <c r="I220" s="2" t="s">
        <v>92</v>
      </c>
      <c r="J220" s="2">
        <v>0.75</v>
      </c>
      <c r="K220" s="7">
        <v>40</v>
      </c>
      <c r="L220" s="2">
        <v>2685</v>
      </c>
      <c r="M220" s="2">
        <v>2118</v>
      </c>
      <c r="N220" s="1" t="s">
        <v>104</v>
      </c>
    </row>
    <row r="221" spans="1:14" ht="15.75" x14ac:dyDescent="0.25">
      <c r="A221" s="2">
        <v>304361</v>
      </c>
      <c r="C221" s="2" t="str">
        <f t="shared" si="3"/>
        <v>304361</v>
      </c>
      <c r="D221" s="18" t="s">
        <v>152</v>
      </c>
      <c r="E221" s="12">
        <v>304195</v>
      </c>
      <c r="F221" s="11" t="s">
        <v>114</v>
      </c>
      <c r="G221" s="2">
        <v>65</v>
      </c>
      <c r="H221" s="2">
        <v>96.5</v>
      </c>
      <c r="I221" s="2" t="s">
        <v>92</v>
      </c>
      <c r="J221" s="2">
        <v>0.75</v>
      </c>
      <c r="K221" s="7">
        <v>40</v>
      </c>
      <c r="L221" s="2">
        <v>2685</v>
      </c>
      <c r="M221" s="2">
        <v>2118</v>
      </c>
      <c r="N221" s="1" t="s">
        <v>104</v>
      </c>
    </row>
    <row r="222" spans="1:14" ht="15.75" x14ac:dyDescent="0.25">
      <c r="A222" s="2">
        <v>304362</v>
      </c>
      <c r="C222" s="2" t="str">
        <f t="shared" si="3"/>
        <v>304362</v>
      </c>
      <c r="D222" s="18" t="s">
        <v>151</v>
      </c>
      <c r="E222" s="12">
        <v>304195</v>
      </c>
      <c r="F222" s="11" t="s">
        <v>114</v>
      </c>
      <c r="G222" s="2">
        <v>65</v>
      </c>
      <c r="H222" s="2">
        <v>96.5</v>
      </c>
      <c r="I222" s="2" t="s">
        <v>92</v>
      </c>
      <c r="J222" s="2">
        <v>0.75</v>
      </c>
      <c r="K222" s="7">
        <v>40</v>
      </c>
      <c r="L222" s="2">
        <v>2600</v>
      </c>
      <c r="M222" s="2">
        <v>2118</v>
      </c>
      <c r="N222" s="1" t="s">
        <v>104</v>
      </c>
    </row>
    <row r="223" spans="1:14" ht="15" x14ac:dyDescent="0.25">
      <c r="A223" s="2">
        <v>304320</v>
      </c>
      <c r="C223" s="2" t="str">
        <f t="shared" si="3"/>
        <v>304320</v>
      </c>
      <c r="D223" t="s">
        <v>150</v>
      </c>
      <c r="E223" s="12">
        <v>304323</v>
      </c>
      <c r="F223" s="11" t="s">
        <v>149</v>
      </c>
      <c r="G223" s="2">
        <v>65</v>
      </c>
      <c r="H223" s="2">
        <v>96.5</v>
      </c>
      <c r="I223" s="2" t="s">
        <v>92</v>
      </c>
      <c r="J223" s="2">
        <v>0.75</v>
      </c>
      <c r="K223" s="7">
        <v>40</v>
      </c>
      <c r="L223" s="2">
        <v>2620</v>
      </c>
      <c r="M223" s="2">
        <v>2118</v>
      </c>
      <c r="N223" s="1" t="s">
        <v>148</v>
      </c>
    </row>
    <row r="224" spans="1:14" ht="15" x14ac:dyDescent="0.25">
      <c r="A224" s="2">
        <v>302490</v>
      </c>
      <c r="B224" s="2" t="s">
        <v>95</v>
      </c>
      <c r="C224" s="2" t="str">
        <f t="shared" si="3"/>
        <v>302490A</v>
      </c>
      <c r="D224" s="3" t="s">
        <v>135</v>
      </c>
      <c r="E224" s="2">
        <v>304261</v>
      </c>
      <c r="F224" s="20" t="s">
        <v>140</v>
      </c>
      <c r="G224" s="2">
        <v>65</v>
      </c>
      <c r="H224" s="2">
        <v>96.8</v>
      </c>
      <c r="I224" s="2" t="s">
        <v>92</v>
      </c>
      <c r="J224" s="2">
        <v>0.75</v>
      </c>
      <c r="K224" s="7">
        <v>41</v>
      </c>
      <c r="L224" s="2">
        <v>3540</v>
      </c>
      <c r="M224" s="2">
        <v>2118</v>
      </c>
      <c r="N224" s="1" t="s">
        <v>142</v>
      </c>
    </row>
    <row r="225" spans="1:14" ht="15" x14ac:dyDescent="0.25">
      <c r="A225" s="2">
        <v>302490</v>
      </c>
      <c r="C225" s="2" t="str">
        <f t="shared" si="3"/>
        <v>302490</v>
      </c>
      <c r="D225" s="3" t="s">
        <v>135</v>
      </c>
      <c r="E225" s="19">
        <v>303989</v>
      </c>
      <c r="F225" s="20" t="s">
        <v>145</v>
      </c>
      <c r="G225" s="2">
        <v>65</v>
      </c>
      <c r="H225" s="2">
        <v>96.8</v>
      </c>
      <c r="I225" s="2" t="s">
        <v>92</v>
      </c>
      <c r="J225" s="2">
        <v>0.75</v>
      </c>
      <c r="K225" s="7">
        <v>40</v>
      </c>
      <c r="L225" s="2">
        <v>2555</v>
      </c>
      <c r="M225" s="2">
        <v>2118</v>
      </c>
      <c r="N225" s="1" t="s">
        <v>147</v>
      </c>
    </row>
    <row r="226" spans="1:14" ht="15" x14ac:dyDescent="0.25">
      <c r="A226" s="2">
        <v>405330</v>
      </c>
      <c r="C226" s="2" t="str">
        <f t="shared" si="3"/>
        <v>405330</v>
      </c>
      <c r="D226" s="3" t="s">
        <v>146</v>
      </c>
      <c r="E226" s="19">
        <v>303989</v>
      </c>
      <c r="F226" s="20" t="s">
        <v>145</v>
      </c>
      <c r="G226" s="2">
        <v>65</v>
      </c>
      <c r="H226" s="2">
        <v>96.8</v>
      </c>
      <c r="I226" s="2" t="s">
        <v>92</v>
      </c>
      <c r="J226" s="2">
        <v>0.75</v>
      </c>
      <c r="K226" s="7">
        <v>40</v>
      </c>
      <c r="L226" s="2">
        <v>2780</v>
      </c>
      <c r="M226" s="2">
        <v>2111</v>
      </c>
      <c r="N226" s="1" t="s">
        <v>144</v>
      </c>
    </row>
    <row r="227" spans="1:14" ht="15" x14ac:dyDescent="0.25">
      <c r="A227" s="2">
        <v>405330</v>
      </c>
      <c r="B227" s="2" t="s">
        <v>95</v>
      </c>
      <c r="C227" s="2" t="str">
        <f t="shared" si="3"/>
        <v>405330A</v>
      </c>
      <c r="D227" s="3" t="s">
        <v>146</v>
      </c>
      <c r="E227" s="2">
        <v>304261</v>
      </c>
      <c r="F227" s="20" t="s">
        <v>140</v>
      </c>
      <c r="G227" s="2">
        <v>68</v>
      </c>
      <c r="H227" s="2">
        <v>96.8</v>
      </c>
      <c r="I227" s="2" t="s">
        <v>92</v>
      </c>
      <c r="J227" s="2">
        <v>0.75</v>
      </c>
      <c r="K227" s="7">
        <v>41</v>
      </c>
      <c r="L227" s="2">
        <v>3505</v>
      </c>
      <c r="M227" s="2">
        <v>2118</v>
      </c>
      <c r="N227" s="1" t="s">
        <v>139</v>
      </c>
    </row>
    <row r="228" spans="1:14" ht="15" x14ac:dyDescent="0.25">
      <c r="A228" s="9">
        <v>304300</v>
      </c>
      <c r="C228" s="2" t="str">
        <f t="shared" si="3"/>
        <v>304300</v>
      </c>
      <c r="D228" s="9" t="s">
        <v>143</v>
      </c>
      <c r="E228" s="19">
        <v>303989</v>
      </c>
      <c r="F228" s="20" t="s">
        <v>145</v>
      </c>
      <c r="G228" s="2">
        <v>72</v>
      </c>
      <c r="H228" s="2">
        <v>97.1</v>
      </c>
      <c r="I228" s="2" t="s">
        <v>92</v>
      </c>
      <c r="J228" s="2">
        <v>0.75</v>
      </c>
      <c r="K228" s="7">
        <v>42</v>
      </c>
      <c r="L228" s="2">
        <v>2820</v>
      </c>
      <c r="M228" s="2">
        <v>2118</v>
      </c>
      <c r="N228" s="1" t="s">
        <v>122</v>
      </c>
    </row>
    <row r="229" spans="1:14" ht="15" x14ac:dyDescent="0.25">
      <c r="A229" s="9">
        <v>411036</v>
      </c>
      <c r="C229" s="2" t="str">
        <f t="shared" si="3"/>
        <v>411036</v>
      </c>
      <c r="D229" s="9" t="s">
        <v>141</v>
      </c>
      <c r="E229" s="19">
        <v>303989</v>
      </c>
      <c r="F229" s="20" t="s">
        <v>145</v>
      </c>
      <c r="G229" s="2">
        <v>72</v>
      </c>
      <c r="H229" s="2">
        <v>97.1</v>
      </c>
      <c r="I229" s="2" t="s">
        <v>92</v>
      </c>
      <c r="J229" s="2">
        <v>0.75</v>
      </c>
      <c r="K229" s="7">
        <v>42</v>
      </c>
      <c r="L229" s="2">
        <v>2780</v>
      </c>
      <c r="M229" s="2">
        <v>2111</v>
      </c>
      <c r="N229" s="1" t="s">
        <v>144</v>
      </c>
    </row>
    <row r="230" spans="1:14" ht="15" x14ac:dyDescent="0.25">
      <c r="A230" s="9">
        <v>304300</v>
      </c>
      <c r="B230" s="2" t="s">
        <v>2</v>
      </c>
      <c r="C230" s="2" t="str">
        <f t="shared" si="3"/>
        <v>304300a</v>
      </c>
      <c r="D230" s="9" t="s">
        <v>143</v>
      </c>
      <c r="E230" s="19">
        <v>304261</v>
      </c>
      <c r="F230" s="20" t="s">
        <v>140</v>
      </c>
      <c r="G230" s="2">
        <v>65</v>
      </c>
      <c r="H230" s="2">
        <v>97.1</v>
      </c>
      <c r="I230" s="2" t="s">
        <v>92</v>
      </c>
      <c r="J230" s="2">
        <v>0.75</v>
      </c>
      <c r="K230" s="7">
        <v>42</v>
      </c>
      <c r="L230" s="2">
        <v>3375</v>
      </c>
      <c r="M230" s="2">
        <v>2118</v>
      </c>
      <c r="N230" s="1" t="s">
        <v>142</v>
      </c>
    </row>
    <row r="231" spans="1:14" ht="15" x14ac:dyDescent="0.25">
      <c r="A231" s="9">
        <v>411036</v>
      </c>
      <c r="B231" s="2" t="s">
        <v>2</v>
      </c>
      <c r="C231" s="2" t="str">
        <f t="shared" si="3"/>
        <v>411036a</v>
      </c>
      <c r="D231" s="9" t="s">
        <v>141</v>
      </c>
      <c r="E231" s="19">
        <v>304261</v>
      </c>
      <c r="F231" s="20" t="s">
        <v>140</v>
      </c>
      <c r="G231" s="2">
        <v>72</v>
      </c>
      <c r="H231" s="2">
        <v>97.1</v>
      </c>
      <c r="I231" s="2" t="s">
        <v>92</v>
      </c>
      <c r="J231" s="2">
        <v>0.75</v>
      </c>
      <c r="K231" s="7">
        <v>42</v>
      </c>
      <c r="L231" s="2">
        <v>3505</v>
      </c>
      <c r="M231" s="2">
        <v>2118</v>
      </c>
      <c r="N231" s="1" t="s">
        <v>139</v>
      </c>
    </row>
    <row r="232" spans="1:14" ht="15" x14ac:dyDescent="0.25">
      <c r="A232" s="14">
        <v>304150</v>
      </c>
      <c r="C232" s="2" t="str">
        <f t="shared" si="3"/>
        <v>304150</v>
      </c>
      <c r="D232" s="3" t="s">
        <v>138</v>
      </c>
      <c r="E232" s="19">
        <v>303990</v>
      </c>
      <c r="F232" s="20" t="s">
        <v>137</v>
      </c>
      <c r="G232" s="2">
        <v>65</v>
      </c>
      <c r="H232" s="2">
        <v>96.8</v>
      </c>
      <c r="I232" s="2" t="s">
        <v>92</v>
      </c>
      <c r="J232" s="2">
        <v>0.75</v>
      </c>
      <c r="K232" s="7">
        <v>40</v>
      </c>
      <c r="L232" s="2">
        <v>2555</v>
      </c>
      <c r="M232" s="2">
        <v>2118</v>
      </c>
      <c r="N232" s="1" t="s">
        <v>136</v>
      </c>
    </row>
    <row r="233" spans="1:14" ht="15" x14ac:dyDescent="0.25">
      <c r="A233" s="2">
        <v>302490</v>
      </c>
      <c r="B233" s="2">
        <v>1</v>
      </c>
      <c r="C233" s="2" t="str">
        <f t="shared" si="3"/>
        <v>3024901</v>
      </c>
      <c r="D233" s="3" t="s">
        <v>135</v>
      </c>
      <c r="E233" s="19">
        <v>303975</v>
      </c>
      <c r="F233" s="20" t="s">
        <v>134</v>
      </c>
      <c r="G233" s="2">
        <v>65</v>
      </c>
      <c r="H233" s="2">
        <v>96.8</v>
      </c>
      <c r="I233" s="2" t="s">
        <v>92</v>
      </c>
      <c r="J233" s="2">
        <v>0.75</v>
      </c>
      <c r="K233" s="7">
        <v>40</v>
      </c>
      <c r="L233" s="2">
        <v>2555</v>
      </c>
      <c r="M233" s="2">
        <v>2118</v>
      </c>
      <c r="N233" s="1" t="s">
        <v>130</v>
      </c>
    </row>
    <row r="234" spans="1:14" x14ac:dyDescent="0.2">
      <c r="A234" s="2">
        <v>302491</v>
      </c>
      <c r="B234" s="2" t="s">
        <v>95</v>
      </c>
      <c r="C234" s="2" t="str">
        <f t="shared" si="3"/>
        <v>302491A</v>
      </c>
      <c r="D234" s="3" t="s">
        <v>98</v>
      </c>
      <c r="E234" s="2">
        <v>303487</v>
      </c>
      <c r="F234" s="3" t="s">
        <v>126</v>
      </c>
      <c r="G234" s="2">
        <v>65</v>
      </c>
      <c r="H234" s="2">
        <v>96.5</v>
      </c>
      <c r="I234" s="2" t="s">
        <v>92</v>
      </c>
      <c r="J234" s="2">
        <v>0.75</v>
      </c>
      <c r="K234" s="7">
        <v>45</v>
      </c>
      <c r="L234" s="2">
        <v>2780</v>
      </c>
      <c r="M234" s="2">
        <v>2118</v>
      </c>
      <c r="N234" s="1" t="s">
        <v>96</v>
      </c>
    </row>
    <row r="235" spans="1:14" ht="15" x14ac:dyDescent="0.25">
      <c r="A235" s="2">
        <v>304312</v>
      </c>
      <c r="C235" s="2" t="str">
        <f t="shared" si="3"/>
        <v>304312</v>
      </c>
      <c r="D235" s="3" t="s">
        <v>133</v>
      </c>
      <c r="E235" s="19">
        <v>303979</v>
      </c>
      <c r="F235" s="20" t="s">
        <v>132</v>
      </c>
      <c r="G235" s="2">
        <v>72</v>
      </c>
      <c r="H235" s="2">
        <v>97.1</v>
      </c>
      <c r="I235" s="2" t="s">
        <v>92</v>
      </c>
      <c r="J235" s="2">
        <v>0.75</v>
      </c>
      <c r="K235" s="7">
        <v>40</v>
      </c>
      <c r="L235" s="2">
        <v>2820</v>
      </c>
      <c r="M235" s="2">
        <v>2118</v>
      </c>
      <c r="N235" s="1" t="s">
        <v>130</v>
      </c>
    </row>
    <row r="236" spans="1:14" x14ac:dyDescent="0.2">
      <c r="A236" s="2">
        <v>302494</v>
      </c>
      <c r="B236" s="2" t="s">
        <v>10</v>
      </c>
      <c r="C236" s="2" t="str">
        <f t="shared" si="3"/>
        <v>302494b</v>
      </c>
      <c r="D236" s="3" t="s">
        <v>127</v>
      </c>
      <c r="E236" s="2">
        <v>302750</v>
      </c>
      <c r="F236" s="3" t="s">
        <v>131</v>
      </c>
      <c r="G236" s="2">
        <v>70</v>
      </c>
      <c r="H236" s="2">
        <v>96.5</v>
      </c>
      <c r="I236" s="2" t="s">
        <v>92</v>
      </c>
      <c r="J236" s="2">
        <v>0.75</v>
      </c>
      <c r="K236" s="7">
        <v>36</v>
      </c>
      <c r="L236" s="2">
        <v>2790</v>
      </c>
      <c r="M236" s="2">
        <v>2118</v>
      </c>
      <c r="N236" s="1" t="s">
        <v>130</v>
      </c>
    </row>
    <row r="237" spans="1:14" x14ac:dyDescent="0.2">
      <c r="A237" s="2">
        <v>302493</v>
      </c>
      <c r="B237" s="2" t="s">
        <v>95</v>
      </c>
      <c r="C237" s="2" t="str">
        <f t="shared" si="3"/>
        <v>302493A</v>
      </c>
      <c r="D237" s="3" t="s">
        <v>129</v>
      </c>
      <c r="E237" s="2">
        <v>303487</v>
      </c>
      <c r="F237" s="3" t="s">
        <v>126</v>
      </c>
      <c r="G237" s="2">
        <v>75</v>
      </c>
      <c r="H237" s="2">
        <v>97.3</v>
      </c>
      <c r="I237" s="2" t="s">
        <v>92</v>
      </c>
      <c r="J237" s="2">
        <v>0.75</v>
      </c>
      <c r="K237" s="7">
        <v>32</v>
      </c>
      <c r="L237" s="2">
        <v>2800</v>
      </c>
      <c r="M237" s="2">
        <v>2118</v>
      </c>
      <c r="N237" s="1" t="s">
        <v>122</v>
      </c>
    </row>
    <row r="238" spans="1:14" x14ac:dyDescent="0.2">
      <c r="A238" s="2">
        <v>302590</v>
      </c>
      <c r="B238" s="2" t="s">
        <v>95</v>
      </c>
      <c r="C238" s="2" t="str">
        <f t="shared" si="3"/>
        <v>302590A</v>
      </c>
      <c r="D238" s="3" t="s">
        <v>128</v>
      </c>
      <c r="E238" s="2">
        <v>303487</v>
      </c>
      <c r="F238" s="3" t="s">
        <v>126</v>
      </c>
      <c r="G238" s="2">
        <v>65</v>
      </c>
      <c r="H238" s="2">
        <v>96.5</v>
      </c>
      <c r="I238" s="2" t="s">
        <v>92</v>
      </c>
      <c r="J238" s="2">
        <v>0.75</v>
      </c>
      <c r="K238" s="7">
        <v>34</v>
      </c>
      <c r="L238" s="2">
        <v>3460</v>
      </c>
      <c r="M238" s="2">
        <v>2118</v>
      </c>
      <c r="N238" s="1" t="s">
        <v>125</v>
      </c>
    </row>
    <row r="239" spans="1:14" x14ac:dyDescent="0.2">
      <c r="A239" s="2">
        <v>302494</v>
      </c>
      <c r="B239" s="2" t="s">
        <v>95</v>
      </c>
      <c r="C239" s="2" t="str">
        <f t="shared" si="3"/>
        <v>302494A</v>
      </c>
      <c r="D239" s="3" t="s">
        <v>127</v>
      </c>
      <c r="E239" s="2">
        <v>303487</v>
      </c>
      <c r="F239" s="3" t="s">
        <v>126</v>
      </c>
      <c r="G239" s="2">
        <v>65</v>
      </c>
      <c r="H239" s="2">
        <v>96.5</v>
      </c>
      <c r="I239" s="2" t="s">
        <v>92</v>
      </c>
      <c r="J239" s="2">
        <v>0.75</v>
      </c>
      <c r="K239" s="7">
        <v>37</v>
      </c>
      <c r="L239" s="2">
        <v>3460</v>
      </c>
      <c r="M239" s="2">
        <v>2118</v>
      </c>
      <c r="N239" s="1" t="s">
        <v>125</v>
      </c>
    </row>
    <row r="240" spans="1:14" ht="15" x14ac:dyDescent="0.25">
      <c r="A240" s="2">
        <v>302491</v>
      </c>
      <c r="C240" s="2" t="str">
        <f t="shared" si="3"/>
        <v>302491</v>
      </c>
      <c r="D240" s="3" t="s">
        <v>98</v>
      </c>
      <c r="E240" s="12">
        <v>303977</v>
      </c>
      <c r="F240" s="11" t="s">
        <v>124</v>
      </c>
      <c r="G240" s="2">
        <v>65</v>
      </c>
      <c r="H240" s="2">
        <v>96.5</v>
      </c>
      <c r="I240" s="2" t="s">
        <v>92</v>
      </c>
      <c r="J240" s="2">
        <v>0.75</v>
      </c>
      <c r="K240" s="7">
        <v>44</v>
      </c>
      <c r="L240" s="2">
        <v>3460</v>
      </c>
      <c r="M240" s="2">
        <v>2118</v>
      </c>
      <c r="N240" s="1" t="s">
        <v>122</v>
      </c>
    </row>
    <row r="241" spans="1:14" ht="15" x14ac:dyDescent="0.25">
      <c r="A241" s="21">
        <v>304152</v>
      </c>
      <c r="C241" s="2" t="str">
        <f t="shared" si="3"/>
        <v>304152</v>
      </c>
      <c r="D241" s="21" t="s">
        <v>94</v>
      </c>
      <c r="E241" s="12">
        <v>304164</v>
      </c>
      <c r="F241" s="11" t="s">
        <v>123</v>
      </c>
      <c r="G241" s="2">
        <v>68</v>
      </c>
      <c r="H241" s="2">
        <v>96.5</v>
      </c>
      <c r="I241" s="2" t="s">
        <v>92</v>
      </c>
      <c r="J241" s="2">
        <v>0.75</v>
      </c>
      <c r="K241" s="7">
        <v>44</v>
      </c>
      <c r="L241" s="2">
        <v>2755</v>
      </c>
      <c r="M241" s="2">
        <v>2118</v>
      </c>
      <c r="N241" s="1" t="s">
        <v>122</v>
      </c>
    </row>
    <row r="242" spans="1:14" ht="15" x14ac:dyDescent="0.25">
      <c r="A242" s="11">
        <v>304240</v>
      </c>
      <c r="C242" s="2" t="str">
        <f t="shared" si="3"/>
        <v>304240</v>
      </c>
      <c r="D242" s="11" t="s">
        <v>121</v>
      </c>
      <c r="E242" s="12">
        <v>304230</v>
      </c>
      <c r="F242" s="11" t="s">
        <v>120</v>
      </c>
      <c r="G242" s="2">
        <v>65</v>
      </c>
      <c r="H242" s="2">
        <v>96.5</v>
      </c>
      <c r="I242" s="2" t="s">
        <v>92</v>
      </c>
      <c r="J242" s="2">
        <v>0.75</v>
      </c>
      <c r="K242" s="7">
        <v>44</v>
      </c>
      <c r="L242" s="2">
        <v>2750</v>
      </c>
      <c r="M242" s="2">
        <v>2118</v>
      </c>
      <c r="N242" s="1" t="s">
        <v>96</v>
      </c>
    </row>
    <row r="243" spans="1:14" ht="15.75" x14ac:dyDescent="0.25">
      <c r="A243" s="21">
        <v>304151</v>
      </c>
      <c r="C243" s="2" t="str">
        <f t="shared" si="3"/>
        <v>304151</v>
      </c>
      <c r="D243" s="13" t="s">
        <v>100</v>
      </c>
      <c r="E243" s="12">
        <v>304115</v>
      </c>
      <c r="F243" s="11" t="s">
        <v>119</v>
      </c>
      <c r="G243" s="2">
        <v>68</v>
      </c>
      <c r="H243" s="2">
        <v>96.5</v>
      </c>
      <c r="I243" s="2" t="s">
        <v>92</v>
      </c>
      <c r="J243" s="2">
        <v>0.75</v>
      </c>
      <c r="K243" s="7">
        <v>44</v>
      </c>
      <c r="L243" s="2">
        <v>2740</v>
      </c>
      <c r="M243" s="2">
        <v>2118</v>
      </c>
      <c r="N243" s="1" t="s">
        <v>96</v>
      </c>
    </row>
    <row r="244" spans="1:14" ht="15.75" x14ac:dyDescent="0.25">
      <c r="A244" s="15">
        <v>305034</v>
      </c>
      <c r="C244" s="2" t="str">
        <f t="shared" si="3"/>
        <v>305034</v>
      </c>
      <c r="D244" s="18" t="s">
        <v>118</v>
      </c>
      <c r="E244" s="12">
        <v>304195</v>
      </c>
      <c r="F244" s="11" t="s">
        <v>114</v>
      </c>
      <c r="G244" s="2">
        <v>68</v>
      </c>
      <c r="H244" s="2">
        <v>96.5</v>
      </c>
      <c r="I244" s="2" t="s">
        <v>92</v>
      </c>
      <c r="J244" s="2">
        <v>0.75</v>
      </c>
      <c r="K244" s="7">
        <v>44</v>
      </c>
      <c r="L244" s="2">
        <v>2670</v>
      </c>
      <c r="M244" s="2">
        <v>2118</v>
      </c>
      <c r="N244" s="1" t="s">
        <v>117</v>
      </c>
    </row>
    <row r="245" spans="1:14" ht="15.75" x14ac:dyDescent="0.25">
      <c r="A245" s="20">
        <v>304194</v>
      </c>
      <c r="C245" s="2" t="str">
        <f t="shared" si="3"/>
        <v>304194</v>
      </c>
      <c r="D245" s="18" t="s">
        <v>113</v>
      </c>
      <c r="E245" s="12">
        <v>304195</v>
      </c>
      <c r="F245" s="11" t="s">
        <v>114</v>
      </c>
      <c r="G245" s="2">
        <v>68</v>
      </c>
      <c r="H245" s="2">
        <v>96.5</v>
      </c>
      <c r="I245" s="2" t="s">
        <v>92</v>
      </c>
      <c r="J245" s="2">
        <v>0.75</v>
      </c>
      <c r="K245" s="7">
        <v>44</v>
      </c>
      <c r="L245" s="2">
        <v>2575</v>
      </c>
      <c r="M245" s="2">
        <v>2118</v>
      </c>
      <c r="N245" s="1" t="s">
        <v>104</v>
      </c>
    </row>
    <row r="246" spans="1:14" ht="15.75" x14ac:dyDescent="0.25">
      <c r="A246" s="20">
        <v>304363</v>
      </c>
      <c r="C246" s="2" t="str">
        <f t="shared" si="3"/>
        <v>304363</v>
      </c>
      <c r="D246" s="18" t="s">
        <v>111</v>
      </c>
      <c r="E246" s="12">
        <v>304195</v>
      </c>
      <c r="F246" s="11" t="s">
        <v>114</v>
      </c>
      <c r="G246" s="2">
        <v>68</v>
      </c>
      <c r="H246" s="2">
        <v>96.5</v>
      </c>
      <c r="I246" s="2" t="s">
        <v>92</v>
      </c>
      <c r="J246" s="2">
        <v>0.75</v>
      </c>
      <c r="K246" s="7">
        <v>44</v>
      </c>
      <c r="L246" s="2">
        <v>2440</v>
      </c>
      <c r="M246" s="2">
        <v>2118</v>
      </c>
      <c r="N246" s="1" t="s">
        <v>104</v>
      </c>
    </row>
    <row r="247" spans="1:14" ht="15.75" x14ac:dyDescent="0.25">
      <c r="A247" s="20">
        <v>304365</v>
      </c>
      <c r="C247" s="2" t="str">
        <f t="shared" si="3"/>
        <v>304365</v>
      </c>
      <c r="D247" s="18" t="s">
        <v>110</v>
      </c>
      <c r="E247" s="12">
        <v>304195</v>
      </c>
      <c r="F247" s="11" t="s">
        <v>114</v>
      </c>
      <c r="G247" s="2">
        <v>68</v>
      </c>
      <c r="H247" s="2">
        <v>96.5</v>
      </c>
      <c r="I247" s="2" t="s">
        <v>92</v>
      </c>
      <c r="J247" s="2">
        <v>0.75</v>
      </c>
      <c r="K247" s="7">
        <v>44</v>
      </c>
      <c r="L247" s="2">
        <v>2635</v>
      </c>
      <c r="M247" s="2">
        <v>2118</v>
      </c>
      <c r="N247" s="1" t="s">
        <v>104</v>
      </c>
    </row>
    <row r="248" spans="1:14" ht="15.75" x14ac:dyDescent="0.25">
      <c r="A248" s="20">
        <v>304364</v>
      </c>
      <c r="C248" s="2" t="str">
        <f t="shared" si="3"/>
        <v>304364</v>
      </c>
      <c r="D248" s="18" t="s">
        <v>109</v>
      </c>
      <c r="E248" s="12">
        <v>304195</v>
      </c>
      <c r="F248" s="11" t="s">
        <v>114</v>
      </c>
      <c r="G248" s="2">
        <v>68</v>
      </c>
      <c r="H248" s="2">
        <v>96.5</v>
      </c>
      <c r="I248" s="2" t="s">
        <v>92</v>
      </c>
      <c r="J248" s="2">
        <v>0.75</v>
      </c>
      <c r="K248" s="7">
        <v>44</v>
      </c>
      <c r="L248" s="2">
        <v>2480</v>
      </c>
      <c r="M248" s="2">
        <v>2118</v>
      </c>
      <c r="N248" s="1" t="s">
        <v>104</v>
      </c>
    </row>
    <row r="249" spans="1:14" ht="15.75" x14ac:dyDescent="0.25">
      <c r="A249" s="20">
        <v>304610</v>
      </c>
      <c r="C249" s="2" t="str">
        <f t="shared" si="3"/>
        <v>304610</v>
      </c>
      <c r="D249" s="18" t="s">
        <v>108</v>
      </c>
      <c r="E249" s="12">
        <v>304195</v>
      </c>
      <c r="F249" s="11" t="s">
        <v>114</v>
      </c>
      <c r="G249" s="2">
        <v>68</v>
      </c>
      <c r="H249" s="2">
        <v>96.5</v>
      </c>
      <c r="I249" s="2" t="s">
        <v>92</v>
      </c>
      <c r="J249" s="2">
        <v>0.75</v>
      </c>
      <c r="K249" s="7">
        <v>44</v>
      </c>
      <c r="L249" s="2">
        <v>2505</v>
      </c>
      <c r="M249" s="2">
        <v>2118</v>
      </c>
      <c r="N249" s="1" t="s">
        <v>104</v>
      </c>
    </row>
    <row r="250" spans="1:14" ht="15.75" x14ac:dyDescent="0.25">
      <c r="A250" s="20">
        <v>304578</v>
      </c>
      <c r="C250" s="2" t="str">
        <f t="shared" si="3"/>
        <v>304578</v>
      </c>
      <c r="D250" s="18" t="s">
        <v>107</v>
      </c>
      <c r="E250" s="12">
        <v>304195</v>
      </c>
      <c r="F250" s="11" t="s">
        <v>114</v>
      </c>
      <c r="G250" s="2">
        <v>68</v>
      </c>
      <c r="H250" s="2">
        <v>96.5</v>
      </c>
      <c r="I250" s="2" t="s">
        <v>92</v>
      </c>
      <c r="J250" s="2">
        <v>0.75</v>
      </c>
      <c r="K250" s="7">
        <v>44</v>
      </c>
      <c r="L250" s="2">
        <v>2675</v>
      </c>
      <c r="M250" s="2">
        <v>2118</v>
      </c>
      <c r="N250" s="1" t="s">
        <v>104</v>
      </c>
    </row>
    <row r="251" spans="1:14" ht="15.75" x14ac:dyDescent="0.25">
      <c r="A251" s="20">
        <v>304925</v>
      </c>
      <c r="C251" s="2" t="str">
        <f t="shared" si="3"/>
        <v>304925</v>
      </c>
      <c r="D251" s="18" t="s">
        <v>116</v>
      </c>
      <c r="E251" s="12">
        <v>304195</v>
      </c>
      <c r="F251" s="11" t="s">
        <v>114</v>
      </c>
      <c r="G251" s="2">
        <v>68</v>
      </c>
      <c r="H251" s="2">
        <v>96.5</v>
      </c>
      <c r="I251" s="2" t="s">
        <v>92</v>
      </c>
      <c r="J251" s="2">
        <v>0.75</v>
      </c>
      <c r="K251" s="7">
        <v>44</v>
      </c>
      <c r="L251" s="2">
        <v>2490</v>
      </c>
      <c r="M251" s="2">
        <v>2118</v>
      </c>
      <c r="N251" s="1" t="s">
        <v>115</v>
      </c>
    </row>
    <row r="252" spans="1:14" ht="15.75" x14ac:dyDescent="0.25">
      <c r="A252" s="20">
        <v>304650</v>
      </c>
      <c r="C252" s="2" t="str">
        <f t="shared" si="3"/>
        <v>304650</v>
      </c>
      <c r="D252" s="18" t="s">
        <v>106</v>
      </c>
      <c r="E252" s="12">
        <v>304195</v>
      </c>
      <c r="F252" s="11" t="s">
        <v>114</v>
      </c>
      <c r="G252" s="2">
        <v>68</v>
      </c>
      <c r="H252" s="2">
        <v>96.5</v>
      </c>
      <c r="I252" s="2" t="s">
        <v>92</v>
      </c>
      <c r="J252" s="2">
        <v>0.75</v>
      </c>
      <c r="K252" s="7">
        <v>44</v>
      </c>
      <c r="L252" s="2">
        <v>2760</v>
      </c>
      <c r="M252" s="2">
        <v>2118</v>
      </c>
      <c r="N252" s="1" t="s">
        <v>104</v>
      </c>
    </row>
    <row r="253" spans="1:14" ht="15.75" x14ac:dyDescent="0.25">
      <c r="A253" s="19">
        <v>304194</v>
      </c>
      <c r="B253" s="2" t="s">
        <v>8</v>
      </c>
      <c r="C253" s="2" t="str">
        <f t="shared" si="3"/>
        <v>304194c</v>
      </c>
      <c r="D253" s="18" t="s">
        <v>113</v>
      </c>
      <c r="E253" s="12">
        <v>304860</v>
      </c>
      <c r="F253" s="11" t="s">
        <v>105</v>
      </c>
      <c r="G253" s="2">
        <v>65</v>
      </c>
      <c r="H253" s="2">
        <v>96.5</v>
      </c>
      <c r="I253" s="2" t="s">
        <v>92</v>
      </c>
      <c r="J253" s="2">
        <v>0.75</v>
      </c>
      <c r="K253" s="7">
        <v>45</v>
      </c>
      <c r="L253" s="2">
        <v>3280</v>
      </c>
      <c r="M253" s="2">
        <v>2118</v>
      </c>
      <c r="N253" s="1" t="s">
        <v>112</v>
      </c>
    </row>
    <row r="254" spans="1:14" ht="15.75" x14ac:dyDescent="0.25">
      <c r="A254" s="19">
        <v>304363</v>
      </c>
      <c r="B254" s="2" t="s">
        <v>8</v>
      </c>
      <c r="C254" s="2" t="str">
        <f t="shared" si="3"/>
        <v>304363c</v>
      </c>
      <c r="D254" s="18" t="s">
        <v>111</v>
      </c>
      <c r="E254" s="12">
        <v>304860</v>
      </c>
      <c r="F254" s="11" t="s">
        <v>105</v>
      </c>
      <c r="G254" s="2">
        <v>65</v>
      </c>
      <c r="H254" s="2">
        <v>96.5</v>
      </c>
      <c r="I254" s="2" t="s">
        <v>92</v>
      </c>
      <c r="J254" s="2">
        <v>0.75</v>
      </c>
      <c r="K254" s="7">
        <v>45</v>
      </c>
      <c r="L254" s="2">
        <v>3245</v>
      </c>
      <c r="M254" s="2">
        <v>2118</v>
      </c>
      <c r="N254" s="1" t="s">
        <v>104</v>
      </c>
    </row>
    <row r="255" spans="1:14" ht="15.75" x14ac:dyDescent="0.25">
      <c r="A255" s="19">
        <v>304365</v>
      </c>
      <c r="B255" s="2" t="s">
        <v>8</v>
      </c>
      <c r="C255" s="2" t="str">
        <f t="shared" si="3"/>
        <v>304365c</v>
      </c>
      <c r="D255" s="18" t="s">
        <v>110</v>
      </c>
      <c r="E255" s="12">
        <v>304860</v>
      </c>
      <c r="F255" s="11" t="s">
        <v>105</v>
      </c>
      <c r="G255" s="2">
        <v>65</v>
      </c>
      <c r="H255" s="2">
        <v>96.5</v>
      </c>
      <c r="I255" s="2" t="s">
        <v>92</v>
      </c>
      <c r="J255" s="2">
        <v>0.75</v>
      </c>
      <c r="K255" s="7">
        <v>45</v>
      </c>
      <c r="L255" s="2">
        <v>3385</v>
      </c>
      <c r="M255" s="2">
        <v>2118</v>
      </c>
      <c r="N255" s="1" t="s">
        <v>104</v>
      </c>
    </row>
    <row r="256" spans="1:14" ht="15.75" x14ac:dyDescent="0.25">
      <c r="A256" s="19">
        <v>304364</v>
      </c>
      <c r="B256" s="2" t="s">
        <v>8</v>
      </c>
      <c r="C256" s="2" t="str">
        <f t="shared" si="3"/>
        <v>304364c</v>
      </c>
      <c r="D256" s="18" t="s">
        <v>109</v>
      </c>
      <c r="E256" s="12">
        <v>304860</v>
      </c>
      <c r="F256" s="11" t="s">
        <v>105</v>
      </c>
      <c r="G256" s="2">
        <v>65</v>
      </c>
      <c r="H256" s="2">
        <v>96.5</v>
      </c>
      <c r="I256" s="2" t="s">
        <v>92</v>
      </c>
      <c r="J256" s="2">
        <v>0.75</v>
      </c>
      <c r="K256" s="7">
        <v>45</v>
      </c>
      <c r="L256" s="2">
        <v>3460</v>
      </c>
      <c r="M256" s="2">
        <v>2118</v>
      </c>
      <c r="N256" s="1" t="s">
        <v>104</v>
      </c>
    </row>
    <row r="257" spans="1:14" ht="15.75" x14ac:dyDescent="0.25">
      <c r="A257" s="19">
        <v>304610</v>
      </c>
      <c r="B257" s="2" t="s">
        <v>8</v>
      </c>
      <c r="C257" s="2" t="str">
        <f t="shared" si="3"/>
        <v>304610c</v>
      </c>
      <c r="D257" s="18" t="s">
        <v>108</v>
      </c>
      <c r="E257" s="12">
        <v>304860</v>
      </c>
      <c r="F257" s="11" t="s">
        <v>105</v>
      </c>
      <c r="G257" s="2">
        <v>68</v>
      </c>
      <c r="H257" s="2">
        <v>96.5</v>
      </c>
      <c r="I257" s="2" t="s">
        <v>92</v>
      </c>
      <c r="J257" s="2">
        <v>0.75</v>
      </c>
      <c r="K257" s="7">
        <v>45</v>
      </c>
      <c r="L257" s="2">
        <v>3480</v>
      </c>
      <c r="M257" s="2">
        <v>2118</v>
      </c>
      <c r="N257" s="1" t="s">
        <v>104</v>
      </c>
    </row>
    <row r="258" spans="1:14" ht="15.75" x14ac:dyDescent="0.25">
      <c r="A258" s="19">
        <v>304578</v>
      </c>
      <c r="B258" s="2" t="s">
        <v>8</v>
      </c>
      <c r="C258" s="2" t="str">
        <f t="shared" si="3"/>
        <v>304578c</v>
      </c>
      <c r="D258" s="18" t="s">
        <v>107</v>
      </c>
      <c r="E258" s="12">
        <v>304860</v>
      </c>
      <c r="F258" s="11" t="s">
        <v>105</v>
      </c>
      <c r="G258" s="2">
        <v>65</v>
      </c>
      <c r="H258" s="2">
        <v>96.5</v>
      </c>
      <c r="I258" s="2" t="s">
        <v>92</v>
      </c>
      <c r="J258" s="2">
        <v>0.75</v>
      </c>
      <c r="K258" s="7">
        <v>45</v>
      </c>
      <c r="L258" s="2">
        <v>3450</v>
      </c>
      <c r="M258" s="2">
        <v>2118</v>
      </c>
      <c r="N258" s="1" t="s">
        <v>104</v>
      </c>
    </row>
    <row r="259" spans="1:14" ht="15.75" x14ac:dyDescent="0.25">
      <c r="A259" s="19">
        <v>304650</v>
      </c>
      <c r="B259" s="2" t="s">
        <v>8</v>
      </c>
      <c r="C259" s="2" t="str">
        <f t="shared" ref="C259:C314" si="4">+CONCATENATE(A259,B259)</f>
        <v>304650c</v>
      </c>
      <c r="D259" s="18" t="s">
        <v>106</v>
      </c>
      <c r="E259" s="12">
        <v>304860</v>
      </c>
      <c r="F259" s="11" t="s">
        <v>105</v>
      </c>
      <c r="G259" s="2">
        <v>68</v>
      </c>
      <c r="H259" s="2">
        <v>96.5</v>
      </c>
      <c r="I259" s="2" t="s">
        <v>92</v>
      </c>
      <c r="J259" s="2">
        <v>0.75</v>
      </c>
      <c r="K259" s="7">
        <v>45</v>
      </c>
      <c r="L259" s="2">
        <v>3480</v>
      </c>
      <c r="M259" s="2">
        <v>2118</v>
      </c>
      <c r="N259" s="1" t="s">
        <v>104</v>
      </c>
    </row>
    <row r="260" spans="1:14" ht="15.75" x14ac:dyDescent="0.25">
      <c r="A260" s="17">
        <v>305000</v>
      </c>
      <c r="C260" s="2" t="str">
        <f t="shared" si="4"/>
        <v>305000</v>
      </c>
      <c r="D260" s="16" t="s">
        <v>103</v>
      </c>
      <c r="E260" s="12">
        <v>305001</v>
      </c>
      <c r="F260" s="15" t="s">
        <v>102</v>
      </c>
      <c r="G260" s="2">
        <v>65</v>
      </c>
      <c r="H260" s="2">
        <v>96.5</v>
      </c>
      <c r="I260" s="2" t="s">
        <v>92</v>
      </c>
      <c r="J260" s="2">
        <v>0.75</v>
      </c>
      <c r="K260" s="7">
        <v>45</v>
      </c>
      <c r="L260" s="2">
        <v>3285</v>
      </c>
      <c r="M260" s="2">
        <v>2118</v>
      </c>
      <c r="N260" s="1" t="s">
        <v>101</v>
      </c>
    </row>
    <row r="261" spans="1:14" ht="15.75" x14ac:dyDescent="0.25">
      <c r="A261" s="14">
        <v>304151</v>
      </c>
      <c r="B261" s="2">
        <v>1</v>
      </c>
      <c r="C261" s="2" t="str">
        <f t="shared" si="4"/>
        <v>3041511</v>
      </c>
      <c r="D261" s="13" t="s">
        <v>100</v>
      </c>
      <c r="E261" s="12">
        <v>304116</v>
      </c>
      <c r="F261" s="11" t="s">
        <v>99</v>
      </c>
      <c r="G261" s="2">
        <v>68</v>
      </c>
      <c r="H261" s="2">
        <v>96.5</v>
      </c>
      <c r="I261" s="2" t="s">
        <v>92</v>
      </c>
      <c r="J261" s="2">
        <v>0.75</v>
      </c>
      <c r="K261" s="7">
        <v>45</v>
      </c>
      <c r="L261" s="2">
        <v>3480</v>
      </c>
      <c r="M261" s="2">
        <v>2118</v>
      </c>
      <c r="N261" s="1" t="s">
        <v>96</v>
      </c>
    </row>
    <row r="262" spans="1:14" ht="15" x14ac:dyDescent="0.25">
      <c r="A262" s="2">
        <v>302491</v>
      </c>
      <c r="B262" s="2" t="s">
        <v>10</v>
      </c>
      <c r="C262" s="2" t="str">
        <f t="shared" si="4"/>
        <v>302491b</v>
      </c>
      <c r="D262" s="3" t="s">
        <v>98</v>
      </c>
      <c r="E262" s="12">
        <v>304130</v>
      </c>
      <c r="F262" s="11" t="s">
        <v>97</v>
      </c>
      <c r="G262" s="2">
        <v>65</v>
      </c>
      <c r="H262" s="2">
        <v>96.5</v>
      </c>
      <c r="I262" s="2" t="s">
        <v>92</v>
      </c>
      <c r="J262" s="2">
        <v>0.75</v>
      </c>
      <c r="K262" s="7">
        <v>45</v>
      </c>
      <c r="L262" s="2">
        <v>3480</v>
      </c>
      <c r="M262" s="2">
        <v>2118</v>
      </c>
      <c r="N262" s="1" t="s">
        <v>96</v>
      </c>
    </row>
    <row r="263" spans="1:14" ht="15" x14ac:dyDescent="0.25">
      <c r="A263" s="2">
        <v>304152</v>
      </c>
      <c r="B263" s="2" t="s">
        <v>95</v>
      </c>
      <c r="C263" s="2" t="str">
        <f t="shared" si="4"/>
        <v>304152A</v>
      </c>
      <c r="D263" s="3" t="s">
        <v>94</v>
      </c>
      <c r="E263" s="12">
        <v>304740</v>
      </c>
      <c r="F263" s="11" t="s">
        <v>93</v>
      </c>
      <c r="G263" s="2">
        <v>65</v>
      </c>
      <c r="H263" s="2">
        <v>96.5</v>
      </c>
      <c r="I263" s="2" t="s">
        <v>92</v>
      </c>
      <c r="J263" s="2">
        <v>0.75</v>
      </c>
      <c r="K263" s="7">
        <v>45</v>
      </c>
      <c r="L263" s="2">
        <v>3440</v>
      </c>
      <c r="M263" s="2">
        <v>2118</v>
      </c>
      <c r="N263" s="1" t="s">
        <v>91</v>
      </c>
    </row>
    <row r="264" spans="1:14" x14ac:dyDescent="0.2">
      <c r="A264" s="7">
        <v>300005</v>
      </c>
      <c r="B264" s="7"/>
      <c r="C264" s="7" t="str">
        <f t="shared" si="4"/>
        <v>300005</v>
      </c>
      <c r="D264" s="8" t="s">
        <v>90</v>
      </c>
      <c r="E264" s="2">
        <v>304694</v>
      </c>
      <c r="F264" s="8" t="s">
        <v>77</v>
      </c>
      <c r="G264" s="2">
        <v>70</v>
      </c>
      <c r="H264" s="2">
        <v>96.5</v>
      </c>
      <c r="I264" s="7" t="s">
        <v>62</v>
      </c>
      <c r="J264" s="2">
        <v>0.5</v>
      </c>
      <c r="K264" s="7">
        <v>12</v>
      </c>
      <c r="L264" s="2">
        <v>2600</v>
      </c>
      <c r="M264" s="7">
        <v>2118</v>
      </c>
      <c r="N264" s="1" t="s">
        <v>76</v>
      </c>
    </row>
    <row r="265" spans="1:14" x14ac:dyDescent="0.2">
      <c r="A265" s="2">
        <v>300006</v>
      </c>
      <c r="C265" s="2" t="str">
        <f t="shared" si="4"/>
        <v>300006</v>
      </c>
      <c r="D265" s="3" t="s">
        <v>89</v>
      </c>
      <c r="E265" s="2">
        <v>303463</v>
      </c>
      <c r="F265" s="8" t="s">
        <v>86</v>
      </c>
      <c r="G265" s="2">
        <v>70</v>
      </c>
      <c r="H265" s="2">
        <v>96.5</v>
      </c>
      <c r="I265" s="2" t="s">
        <v>62</v>
      </c>
      <c r="J265" s="2">
        <v>0.5</v>
      </c>
      <c r="K265" s="7">
        <v>12</v>
      </c>
      <c r="L265" s="2">
        <v>2820</v>
      </c>
      <c r="M265" s="2">
        <v>2118</v>
      </c>
      <c r="N265" s="1" t="s">
        <v>85</v>
      </c>
    </row>
    <row r="266" spans="1:14" x14ac:dyDescent="0.2">
      <c r="A266" s="2">
        <v>300007</v>
      </c>
      <c r="C266" s="2" t="str">
        <f t="shared" si="4"/>
        <v>300007</v>
      </c>
      <c r="D266" s="3" t="s">
        <v>88</v>
      </c>
      <c r="E266" s="2">
        <v>304694</v>
      </c>
      <c r="F266" s="8" t="s">
        <v>77</v>
      </c>
      <c r="G266" s="2">
        <v>75</v>
      </c>
      <c r="H266" s="2">
        <v>96.5</v>
      </c>
      <c r="I266" s="2" t="s">
        <v>62</v>
      </c>
      <c r="J266" s="2">
        <v>0.5</v>
      </c>
      <c r="K266" s="7">
        <v>19</v>
      </c>
      <c r="L266" s="2">
        <v>2600</v>
      </c>
      <c r="M266" s="2">
        <v>2118</v>
      </c>
      <c r="N266" s="1" t="s">
        <v>76</v>
      </c>
    </row>
    <row r="267" spans="1:14" x14ac:dyDescent="0.2">
      <c r="A267" s="2">
        <v>300008</v>
      </c>
      <c r="C267" s="2" t="str">
        <f t="shared" si="4"/>
        <v>300008</v>
      </c>
      <c r="D267" s="3" t="s">
        <v>87</v>
      </c>
      <c r="E267" s="2">
        <v>303463</v>
      </c>
      <c r="F267" s="8" t="s">
        <v>86</v>
      </c>
      <c r="G267" s="2">
        <v>75</v>
      </c>
      <c r="H267" s="2">
        <v>96.5</v>
      </c>
      <c r="I267" s="2" t="s">
        <v>62</v>
      </c>
      <c r="J267" s="2">
        <v>0.5</v>
      </c>
      <c r="K267" s="7">
        <v>19</v>
      </c>
      <c r="L267" s="2">
        <v>2820</v>
      </c>
      <c r="M267" s="2">
        <v>2118</v>
      </c>
      <c r="N267" s="1" t="s">
        <v>85</v>
      </c>
    </row>
    <row r="268" spans="1:14" x14ac:dyDescent="0.2">
      <c r="A268" s="2">
        <v>303505</v>
      </c>
      <c r="C268" s="2" t="str">
        <f t="shared" si="4"/>
        <v>303505</v>
      </c>
      <c r="D268" s="3" t="s">
        <v>84</v>
      </c>
      <c r="E268" s="2">
        <v>304694</v>
      </c>
      <c r="F268" s="8" t="s">
        <v>77</v>
      </c>
      <c r="G268" s="2">
        <v>76</v>
      </c>
      <c r="H268" s="2">
        <v>97</v>
      </c>
      <c r="I268" s="2" t="s">
        <v>62</v>
      </c>
      <c r="J268" s="2">
        <v>0.5</v>
      </c>
      <c r="K268" s="7">
        <v>23</v>
      </c>
      <c r="L268" s="2">
        <v>2790</v>
      </c>
      <c r="M268" s="2">
        <v>2118</v>
      </c>
      <c r="N268" s="1" t="s">
        <v>76</v>
      </c>
    </row>
    <row r="269" spans="1:14" x14ac:dyDescent="0.2">
      <c r="A269" s="2">
        <v>302470</v>
      </c>
      <c r="C269" s="2" t="str">
        <f t="shared" si="4"/>
        <v>302470</v>
      </c>
      <c r="D269" s="3" t="s">
        <v>83</v>
      </c>
      <c r="E269" s="2">
        <v>304694</v>
      </c>
      <c r="F269" s="8" t="s">
        <v>77</v>
      </c>
      <c r="G269" s="2">
        <v>60</v>
      </c>
      <c r="H269" s="2">
        <v>96.5</v>
      </c>
      <c r="I269" s="2" t="s">
        <v>62</v>
      </c>
      <c r="J269" s="2">
        <v>0.5</v>
      </c>
      <c r="K269" s="7">
        <v>3</v>
      </c>
      <c r="L269" s="2">
        <v>2600</v>
      </c>
      <c r="M269" s="2">
        <v>2118</v>
      </c>
      <c r="N269" s="1" t="s">
        <v>76</v>
      </c>
    </row>
    <row r="270" spans="1:14" x14ac:dyDescent="0.2">
      <c r="A270" s="2">
        <v>302471</v>
      </c>
      <c r="C270" s="2" t="str">
        <f t="shared" si="4"/>
        <v>302471</v>
      </c>
      <c r="D270" s="3" t="s">
        <v>82</v>
      </c>
      <c r="E270" s="2">
        <v>304694</v>
      </c>
      <c r="F270" s="8" t="s">
        <v>77</v>
      </c>
      <c r="G270" s="2">
        <v>72</v>
      </c>
      <c r="H270" s="2">
        <v>96.7</v>
      </c>
      <c r="I270" s="2" t="s">
        <v>62</v>
      </c>
      <c r="J270" s="2">
        <v>0.5</v>
      </c>
      <c r="K270" s="7">
        <v>8</v>
      </c>
      <c r="L270" s="2">
        <v>2600</v>
      </c>
      <c r="M270" s="2">
        <v>2118</v>
      </c>
      <c r="N270" s="1" t="s">
        <v>76</v>
      </c>
    </row>
    <row r="271" spans="1:14" x14ac:dyDescent="0.2">
      <c r="A271" s="2">
        <v>408045</v>
      </c>
      <c r="C271" s="2" t="str">
        <f t="shared" si="4"/>
        <v>408045</v>
      </c>
      <c r="D271" s="3" t="s">
        <v>81</v>
      </c>
      <c r="E271" s="2">
        <v>304580</v>
      </c>
      <c r="F271" s="3" t="s">
        <v>41</v>
      </c>
      <c r="G271" s="2">
        <v>72</v>
      </c>
      <c r="H271" s="2">
        <v>97</v>
      </c>
      <c r="I271" s="2" t="s">
        <v>37</v>
      </c>
      <c r="J271" s="2">
        <v>0.5</v>
      </c>
      <c r="K271" s="7">
        <v>8</v>
      </c>
      <c r="L271" s="2">
        <v>2600</v>
      </c>
      <c r="M271" s="2">
        <v>2118</v>
      </c>
      <c r="N271" s="1" t="s">
        <v>36</v>
      </c>
    </row>
    <row r="272" spans="1:14" x14ac:dyDescent="0.2">
      <c r="A272" s="2">
        <v>302472</v>
      </c>
      <c r="C272" s="2" t="str">
        <f t="shared" si="4"/>
        <v>302472</v>
      </c>
      <c r="D272" s="3" t="s">
        <v>80</v>
      </c>
      <c r="E272" s="2">
        <v>304694</v>
      </c>
      <c r="F272" s="8" t="s">
        <v>77</v>
      </c>
      <c r="G272" s="2">
        <v>70</v>
      </c>
      <c r="H272" s="2">
        <v>96.5</v>
      </c>
      <c r="I272" s="2" t="s">
        <v>62</v>
      </c>
      <c r="J272" s="2">
        <v>0.5</v>
      </c>
      <c r="K272" s="7">
        <v>14</v>
      </c>
      <c r="L272" s="2">
        <v>2600</v>
      </c>
      <c r="M272" s="2">
        <v>2118</v>
      </c>
      <c r="N272" s="1" t="s">
        <v>36</v>
      </c>
    </row>
    <row r="273" spans="1:14" x14ac:dyDescent="0.2">
      <c r="A273" s="2">
        <v>410993</v>
      </c>
      <c r="C273" s="2" t="str">
        <f t="shared" si="4"/>
        <v>410993</v>
      </c>
      <c r="D273" s="3" t="s">
        <v>79</v>
      </c>
      <c r="E273" s="2">
        <v>304580</v>
      </c>
      <c r="F273" s="3" t="s">
        <v>41</v>
      </c>
      <c r="G273" s="2">
        <v>70</v>
      </c>
      <c r="H273" s="2">
        <v>96.5</v>
      </c>
      <c r="I273" s="2" t="s">
        <v>62</v>
      </c>
      <c r="J273" s="2">
        <v>0.5</v>
      </c>
      <c r="K273" s="7">
        <v>14</v>
      </c>
      <c r="L273" s="2">
        <v>2600</v>
      </c>
      <c r="M273" s="2">
        <v>2113</v>
      </c>
      <c r="N273" s="1" t="s">
        <v>36</v>
      </c>
    </row>
    <row r="274" spans="1:14" x14ac:dyDescent="0.2">
      <c r="A274" s="2">
        <v>302473</v>
      </c>
      <c r="C274" s="2" t="str">
        <f t="shared" si="4"/>
        <v>302473</v>
      </c>
      <c r="D274" s="3" t="s">
        <v>78</v>
      </c>
      <c r="E274" s="2">
        <v>304694</v>
      </c>
      <c r="F274" s="8" t="s">
        <v>77</v>
      </c>
      <c r="G274" s="2">
        <v>70</v>
      </c>
      <c r="H274" s="2">
        <v>96.5</v>
      </c>
      <c r="I274" s="2" t="s">
        <v>62</v>
      </c>
      <c r="J274" s="2">
        <v>0.5</v>
      </c>
      <c r="K274" s="7">
        <v>16</v>
      </c>
      <c r="L274" s="2">
        <v>2600</v>
      </c>
      <c r="M274" s="2">
        <v>2118</v>
      </c>
      <c r="N274" s="1" t="s">
        <v>76</v>
      </c>
    </row>
    <row r="275" spans="1:14" x14ac:dyDescent="0.2">
      <c r="A275" s="2">
        <v>405780</v>
      </c>
      <c r="C275" s="2" t="str">
        <f t="shared" si="4"/>
        <v>405780</v>
      </c>
      <c r="D275" s="3" t="s">
        <v>75</v>
      </c>
      <c r="E275" s="2">
        <v>303452</v>
      </c>
      <c r="F275" s="3" t="s">
        <v>73</v>
      </c>
      <c r="G275" s="2">
        <v>75</v>
      </c>
      <c r="H275" s="2">
        <v>97.3</v>
      </c>
      <c r="I275" s="2" t="s">
        <v>70</v>
      </c>
      <c r="J275" s="2">
        <v>0.5</v>
      </c>
      <c r="K275" s="7">
        <v>11</v>
      </c>
      <c r="L275" s="2">
        <v>2820</v>
      </c>
      <c r="M275" s="2">
        <v>2111</v>
      </c>
      <c r="N275" s="1" t="s">
        <v>69</v>
      </c>
    </row>
    <row r="276" spans="1:14" x14ac:dyDescent="0.2">
      <c r="A276" s="2">
        <v>405781</v>
      </c>
      <c r="C276" s="2" t="str">
        <f t="shared" si="4"/>
        <v>405781</v>
      </c>
      <c r="D276" s="3" t="s">
        <v>74</v>
      </c>
      <c r="E276" s="2">
        <v>303452</v>
      </c>
      <c r="F276" s="3" t="s">
        <v>73</v>
      </c>
      <c r="G276" s="2">
        <v>76.5</v>
      </c>
      <c r="H276" s="2">
        <v>97.3</v>
      </c>
      <c r="I276" s="2" t="s">
        <v>70</v>
      </c>
      <c r="J276" s="2">
        <v>0.5</v>
      </c>
      <c r="K276" s="7">
        <v>18</v>
      </c>
      <c r="L276" s="2">
        <v>2820</v>
      </c>
      <c r="M276" s="2">
        <v>2111</v>
      </c>
      <c r="N276" s="1" t="s">
        <v>69</v>
      </c>
    </row>
    <row r="277" spans="1:14" x14ac:dyDescent="0.2">
      <c r="A277" s="2">
        <v>405782</v>
      </c>
      <c r="C277" s="2" t="str">
        <f t="shared" si="4"/>
        <v>405782</v>
      </c>
      <c r="D277" s="3" t="s">
        <v>72</v>
      </c>
      <c r="E277" s="2">
        <v>303453</v>
      </c>
      <c r="F277" s="8" t="s">
        <v>71</v>
      </c>
      <c r="G277" s="2">
        <v>76</v>
      </c>
      <c r="H277" s="2">
        <v>97.3</v>
      </c>
      <c r="I277" s="2" t="s">
        <v>70</v>
      </c>
      <c r="J277" s="2">
        <v>0.5</v>
      </c>
      <c r="K277" s="7">
        <v>22</v>
      </c>
      <c r="L277" s="2">
        <v>2820</v>
      </c>
      <c r="M277" s="2">
        <v>2111</v>
      </c>
      <c r="N277" s="1" t="s">
        <v>69</v>
      </c>
    </row>
    <row r="278" spans="1:14" x14ac:dyDescent="0.2">
      <c r="A278" s="2">
        <v>302560</v>
      </c>
      <c r="C278" s="2" t="str">
        <f t="shared" si="4"/>
        <v>302560</v>
      </c>
      <c r="D278" s="3" t="s">
        <v>67</v>
      </c>
      <c r="E278" s="2">
        <v>303457</v>
      </c>
      <c r="F278" s="8" t="s">
        <v>65</v>
      </c>
      <c r="G278" s="2">
        <v>53</v>
      </c>
      <c r="H278" s="2">
        <v>96.8</v>
      </c>
      <c r="I278" s="2" t="s">
        <v>62</v>
      </c>
      <c r="J278" s="2">
        <v>0.5</v>
      </c>
      <c r="K278" s="7">
        <v>1</v>
      </c>
      <c r="L278" s="2">
        <v>2550</v>
      </c>
      <c r="M278" s="2">
        <v>2118</v>
      </c>
      <c r="N278" s="1" t="s">
        <v>68</v>
      </c>
    </row>
    <row r="279" spans="1:14" x14ac:dyDescent="0.2">
      <c r="A279" s="2">
        <v>302560</v>
      </c>
      <c r="B279" s="2" t="s">
        <v>10</v>
      </c>
      <c r="C279" s="2" t="str">
        <f t="shared" si="4"/>
        <v>302560b</v>
      </c>
      <c r="D279" s="3" t="s">
        <v>67</v>
      </c>
      <c r="E279" s="2">
        <v>303454</v>
      </c>
      <c r="F279" s="8" t="s">
        <v>59</v>
      </c>
      <c r="G279" s="2">
        <v>53</v>
      </c>
      <c r="H279" s="2">
        <v>96.8</v>
      </c>
      <c r="I279" s="2" t="s">
        <v>62</v>
      </c>
      <c r="J279" s="2">
        <v>0.5</v>
      </c>
      <c r="K279" s="7">
        <v>1</v>
      </c>
      <c r="L279" s="2">
        <v>2550</v>
      </c>
      <c r="M279" s="2">
        <v>2118</v>
      </c>
      <c r="N279" s="1" t="s">
        <v>66</v>
      </c>
    </row>
    <row r="280" spans="1:14" x14ac:dyDescent="0.2">
      <c r="A280" s="2">
        <v>302530</v>
      </c>
      <c r="C280" s="2" t="str">
        <f t="shared" si="4"/>
        <v>302530</v>
      </c>
      <c r="D280" s="3" t="s">
        <v>63</v>
      </c>
      <c r="E280" s="2">
        <v>303457</v>
      </c>
      <c r="F280" s="8" t="s">
        <v>65</v>
      </c>
      <c r="G280" s="2">
        <v>70</v>
      </c>
      <c r="H280" s="2">
        <v>96.8</v>
      </c>
      <c r="I280" s="2" t="s">
        <v>62</v>
      </c>
      <c r="J280" s="2">
        <v>0.5</v>
      </c>
      <c r="K280" s="7">
        <v>7</v>
      </c>
      <c r="L280" s="2">
        <v>2550</v>
      </c>
      <c r="M280" s="2">
        <v>2118</v>
      </c>
      <c r="N280" s="1" t="s">
        <v>64</v>
      </c>
    </row>
    <row r="281" spans="1:14" x14ac:dyDescent="0.2">
      <c r="A281" s="2">
        <v>302530</v>
      </c>
      <c r="B281" s="2" t="s">
        <v>10</v>
      </c>
      <c r="C281" s="2" t="str">
        <f t="shared" si="4"/>
        <v>302530b</v>
      </c>
      <c r="D281" s="3" t="s">
        <v>63</v>
      </c>
      <c r="E281" s="2">
        <v>303466</v>
      </c>
      <c r="F281" s="8" t="s">
        <v>38</v>
      </c>
      <c r="G281" s="2">
        <v>70</v>
      </c>
      <c r="H281" s="2">
        <v>96.8</v>
      </c>
      <c r="I281" s="2" t="s">
        <v>62</v>
      </c>
      <c r="J281" s="2">
        <v>0.5</v>
      </c>
      <c r="K281" s="7">
        <v>7</v>
      </c>
      <c r="L281" s="2">
        <v>2550</v>
      </c>
      <c r="M281" s="2">
        <v>2118</v>
      </c>
      <c r="N281" s="1" t="s">
        <v>61</v>
      </c>
    </row>
    <row r="282" spans="1:14" x14ac:dyDescent="0.2">
      <c r="A282" s="2">
        <v>400394</v>
      </c>
      <c r="C282" s="2" t="str">
        <f t="shared" si="4"/>
        <v>400394</v>
      </c>
      <c r="D282" s="3" t="s">
        <v>60</v>
      </c>
      <c r="E282" s="2">
        <v>303454</v>
      </c>
      <c r="F282" s="8" t="s">
        <v>59</v>
      </c>
      <c r="G282" s="2">
        <v>54</v>
      </c>
      <c r="H282" s="2">
        <v>97</v>
      </c>
      <c r="I282" s="2" t="s">
        <v>37</v>
      </c>
      <c r="J282" s="2">
        <v>0.5</v>
      </c>
      <c r="K282" s="7">
        <v>1</v>
      </c>
      <c r="L282" s="2">
        <v>2550</v>
      </c>
      <c r="M282" s="2">
        <v>2111</v>
      </c>
      <c r="N282" s="1" t="s">
        <v>55</v>
      </c>
    </row>
    <row r="283" spans="1:14" x14ac:dyDescent="0.2">
      <c r="A283" s="2">
        <v>407916</v>
      </c>
      <c r="C283" s="2" t="str">
        <f t="shared" si="4"/>
        <v>407916</v>
      </c>
      <c r="D283" s="3" t="s">
        <v>51</v>
      </c>
      <c r="E283" s="2">
        <v>303466</v>
      </c>
      <c r="F283" s="8" t="s">
        <v>38</v>
      </c>
      <c r="G283" s="2">
        <v>54.5</v>
      </c>
      <c r="H283" s="2">
        <v>97</v>
      </c>
      <c r="I283" s="2" t="s">
        <v>37</v>
      </c>
      <c r="J283" s="2">
        <v>0.5</v>
      </c>
      <c r="K283" s="7">
        <v>1</v>
      </c>
      <c r="L283" s="2">
        <v>2550</v>
      </c>
      <c r="M283" s="2">
        <v>2111</v>
      </c>
      <c r="N283" s="1" t="s">
        <v>58</v>
      </c>
    </row>
    <row r="284" spans="1:14" x14ac:dyDescent="0.2">
      <c r="A284" s="2">
        <v>407916</v>
      </c>
      <c r="B284" s="2">
        <v>1</v>
      </c>
      <c r="C284" s="2" t="str">
        <f t="shared" si="4"/>
        <v>4079161</v>
      </c>
      <c r="D284" s="3" t="s">
        <v>51</v>
      </c>
      <c r="E284" s="2">
        <v>303466</v>
      </c>
      <c r="F284" s="8" t="s">
        <v>38</v>
      </c>
      <c r="G284" s="2">
        <v>54.5</v>
      </c>
      <c r="H284" s="2">
        <v>97</v>
      </c>
      <c r="I284" s="2" t="s">
        <v>37</v>
      </c>
      <c r="J284" s="2">
        <v>0.5</v>
      </c>
      <c r="K284" s="7">
        <v>1</v>
      </c>
      <c r="L284" s="2">
        <v>2550</v>
      </c>
      <c r="M284" s="2">
        <v>2113</v>
      </c>
      <c r="N284" s="1" t="s">
        <v>56</v>
      </c>
    </row>
    <row r="285" spans="1:14" x14ac:dyDescent="0.2">
      <c r="A285" s="2">
        <v>400398</v>
      </c>
      <c r="C285" s="2" t="str">
        <f t="shared" si="4"/>
        <v>400398</v>
      </c>
      <c r="D285" s="3" t="s">
        <v>49</v>
      </c>
      <c r="E285" s="2">
        <v>304580</v>
      </c>
      <c r="F285" s="3" t="s">
        <v>41</v>
      </c>
      <c r="G285" s="2">
        <v>54.5</v>
      </c>
      <c r="H285" s="2">
        <v>97</v>
      </c>
      <c r="I285" s="2" t="s">
        <v>37</v>
      </c>
      <c r="J285" s="2">
        <v>0.5</v>
      </c>
      <c r="K285" s="7">
        <v>1</v>
      </c>
      <c r="L285" s="2">
        <v>2550</v>
      </c>
      <c r="M285" s="2">
        <v>2111</v>
      </c>
      <c r="N285" s="1" t="s">
        <v>57</v>
      </c>
    </row>
    <row r="286" spans="1:14" x14ac:dyDescent="0.2">
      <c r="A286" s="2">
        <v>400398</v>
      </c>
      <c r="B286" s="2">
        <v>1</v>
      </c>
      <c r="C286" s="2" t="str">
        <f t="shared" si="4"/>
        <v>4003981</v>
      </c>
      <c r="D286" s="3" t="s">
        <v>49</v>
      </c>
      <c r="E286" s="2">
        <v>304580</v>
      </c>
      <c r="F286" s="3" t="s">
        <v>41</v>
      </c>
      <c r="G286" s="2">
        <v>54.5</v>
      </c>
      <c r="H286" s="2">
        <v>97</v>
      </c>
      <c r="I286" s="2" t="s">
        <v>37</v>
      </c>
      <c r="J286" s="2">
        <v>0.5</v>
      </c>
      <c r="K286" s="7">
        <v>1</v>
      </c>
      <c r="L286" s="2">
        <v>2550</v>
      </c>
      <c r="M286" s="2">
        <v>2113</v>
      </c>
      <c r="N286" s="1" t="s">
        <v>56</v>
      </c>
    </row>
    <row r="287" spans="1:14" ht="15" x14ac:dyDescent="0.25">
      <c r="A287" s="2">
        <v>411591</v>
      </c>
      <c r="C287" s="2" t="str">
        <f t="shared" si="4"/>
        <v>411591</v>
      </c>
      <c r="D287" s="9" t="s">
        <v>54</v>
      </c>
      <c r="E287" s="2">
        <v>303455</v>
      </c>
      <c r="F287" s="8" t="s">
        <v>53</v>
      </c>
      <c r="G287" s="2">
        <v>54</v>
      </c>
      <c r="H287" s="2">
        <v>97</v>
      </c>
      <c r="I287" s="2" t="s">
        <v>37</v>
      </c>
      <c r="J287" s="2">
        <v>0.5</v>
      </c>
      <c r="K287" s="7">
        <v>1</v>
      </c>
      <c r="L287" s="2">
        <v>2550</v>
      </c>
      <c r="M287" s="2">
        <v>2111</v>
      </c>
      <c r="N287" s="1" t="s">
        <v>55</v>
      </c>
    </row>
    <row r="288" spans="1:14" ht="15" x14ac:dyDescent="0.25">
      <c r="A288" s="2">
        <v>411591</v>
      </c>
      <c r="B288" s="2" t="s">
        <v>2</v>
      </c>
      <c r="C288" s="2" t="str">
        <f t="shared" si="4"/>
        <v>411591a</v>
      </c>
      <c r="D288" s="9" t="s">
        <v>54</v>
      </c>
      <c r="E288" s="2">
        <v>303455</v>
      </c>
      <c r="F288" s="8" t="s">
        <v>53</v>
      </c>
      <c r="G288" s="2">
        <v>54</v>
      </c>
      <c r="H288" s="2">
        <v>97</v>
      </c>
      <c r="I288" s="2" t="s">
        <v>37</v>
      </c>
      <c r="J288" s="2">
        <v>0.5</v>
      </c>
      <c r="K288" s="7">
        <v>1</v>
      </c>
      <c r="L288" s="2">
        <v>2550</v>
      </c>
      <c r="M288" s="2">
        <v>2113</v>
      </c>
      <c r="N288" s="1" t="s">
        <v>52</v>
      </c>
    </row>
    <row r="289" spans="1:14" x14ac:dyDescent="0.2">
      <c r="A289" s="2">
        <v>407916</v>
      </c>
      <c r="B289" s="2" t="s">
        <v>4</v>
      </c>
      <c r="C289" s="2" t="str">
        <f t="shared" si="4"/>
        <v>407916e</v>
      </c>
      <c r="D289" s="3" t="s">
        <v>51</v>
      </c>
      <c r="E289" s="2">
        <v>304460</v>
      </c>
      <c r="F289" s="8" t="s">
        <v>50</v>
      </c>
      <c r="G289" s="2">
        <v>54.5</v>
      </c>
      <c r="H289" s="2">
        <v>97</v>
      </c>
      <c r="I289" s="2" t="s">
        <v>37</v>
      </c>
      <c r="J289" s="2">
        <v>0.5</v>
      </c>
      <c r="K289" s="7">
        <v>1</v>
      </c>
      <c r="L289" s="2">
        <v>2550</v>
      </c>
      <c r="M289" s="2">
        <v>2111</v>
      </c>
      <c r="N289" s="1" t="s">
        <v>47</v>
      </c>
    </row>
    <row r="290" spans="1:14" x14ac:dyDescent="0.2">
      <c r="A290" s="2">
        <v>400398</v>
      </c>
      <c r="B290" s="2" t="s">
        <v>4</v>
      </c>
      <c r="C290" s="2" t="str">
        <f t="shared" si="4"/>
        <v>400398e</v>
      </c>
      <c r="D290" s="3" t="s">
        <v>49</v>
      </c>
      <c r="E290" s="2">
        <v>304450</v>
      </c>
      <c r="F290" s="8" t="s">
        <v>48</v>
      </c>
      <c r="G290" s="2">
        <v>54.5</v>
      </c>
      <c r="H290" s="2">
        <v>97</v>
      </c>
      <c r="I290" s="2" t="s">
        <v>37</v>
      </c>
      <c r="J290" s="2">
        <v>0.5</v>
      </c>
      <c r="K290" s="7">
        <v>1</v>
      </c>
      <c r="L290" s="2">
        <v>2550</v>
      </c>
      <c r="M290" s="2">
        <v>2111</v>
      </c>
      <c r="N290" s="1" t="s">
        <v>47</v>
      </c>
    </row>
    <row r="291" spans="1:14" x14ac:dyDescent="0.2">
      <c r="A291" s="2">
        <v>300378</v>
      </c>
      <c r="C291" s="2" t="str">
        <f t="shared" si="4"/>
        <v>300378</v>
      </c>
      <c r="D291" s="3" t="s">
        <v>42</v>
      </c>
      <c r="E291" s="2">
        <v>304580</v>
      </c>
      <c r="F291" s="3" t="s">
        <v>41</v>
      </c>
      <c r="G291" s="2">
        <v>72</v>
      </c>
      <c r="H291" s="2">
        <v>97</v>
      </c>
      <c r="I291" s="2" t="s">
        <v>37</v>
      </c>
      <c r="J291" s="2">
        <v>0.5</v>
      </c>
      <c r="K291" s="7">
        <v>8</v>
      </c>
      <c r="L291" s="2">
        <v>2550</v>
      </c>
      <c r="M291" s="2">
        <v>2118</v>
      </c>
      <c r="N291" s="1" t="s">
        <v>36</v>
      </c>
    </row>
    <row r="292" spans="1:14" x14ac:dyDescent="0.2">
      <c r="A292" s="2">
        <v>408533</v>
      </c>
      <c r="C292" s="2" t="str">
        <f t="shared" si="4"/>
        <v>408533</v>
      </c>
      <c r="D292" s="3" t="s">
        <v>46</v>
      </c>
      <c r="E292" s="10">
        <v>303564</v>
      </c>
      <c r="F292" s="3" t="s">
        <v>45</v>
      </c>
      <c r="G292" s="2">
        <v>64</v>
      </c>
      <c r="H292" s="2">
        <v>96</v>
      </c>
      <c r="I292" s="2" t="s">
        <v>44</v>
      </c>
      <c r="J292" s="2">
        <v>0.5</v>
      </c>
      <c r="K292" s="7">
        <v>26</v>
      </c>
      <c r="L292" s="2">
        <v>2550</v>
      </c>
      <c r="M292" s="2">
        <v>2111</v>
      </c>
      <c r="N292" s="1" t="s">
        <v>43</v>
      </c>
    </row>
    <row r="293" spans="1:14" x14ac:dyDescent="0.2">
      <c r="A293" s="2">
        <v>300378</v>
      </c>
      <c r="B293" s="2" t="s">
        <v>8</v>
      </c>
      <c r="C293" s="2" t="str">
        <f t="shared" si="4"/>
        <v>300378c</v>
      </c>
      <c r="D293" s="3" t="s">
        <v>42</v>
      </c>
      <c r="E293" s="2">
        <v>304580</v>
      </c>
      <c r="F293" s="3" t="s">
        <v>41</v>
      </c>
      <c r="G293" s="2">
        <v>72</v>
      </c>
      <c r="H293" s="2">
        <v>97</v>
      </c>
      <c r="I293" s="2" t="s">
        <v>37</v>
      </c>
      <c r="J293" s="2">
        <v>0.5</v>
      </c>
      <c r="K293" s="7">
        <v>8</v>
      </c>
      <c r="L293" s="2">
        <v>2550</v>
      </c>
      <c r="M293" s="2">
        <v>2118</v>
      </c>
      <c r="N293" s="1" t="s">
        <v>40</v>
      </c>
    </row>
    <row r="294" spans="1:14" ht="15" x14ac:dyDescent="0.25">
      <c r="A294" s="2">
        <v>411334</v>
      </c>
      <c r="C294" s="2" t="str">
        <f t="shared" si="4"/>
        <v>411334</v>
      </c>
      <c r="D294" s="9" t="s">
        <v>39</v>
      </c>
      <c r="E294" s="2">
        <v>303466</v>
      </c>
      <c r="F294" s="8" t="s">
        <v>38</v>
      </c>
      <c r="G294" s="2">
        <v>72</v>
      </c>
      <c r="H294" s="2">
        <v>97</v>
      </c>
      <c r="I294" s="2" t="s">
        <v>37</v>
      </c>
      <c r="J294" s="2">
        <v>0.5</v>
      </c>
      <c r="K294" s="7">
        <v>8</v>
      </c>
      <c r="L294" s="2">
        <v>2600</v>
      </c>
      <c r="M294" s="2">
        <v>2118</v>
      </c>
      <c r="N294" s="1" t="s">
        <v>36</v>
      </c>
    </row>
    <row r="295" spans="1:14" x14ac:dyDescent="0.2">
      <c r="A295" s="7">
        <v>999992</v>
      </c>
      <c r="B295" s="7"/>
      <c r="C295" s="7" t="str">
        <f t="shared" si="4"/>
        <v>999992</v>
      </c>
      <c r="D295" s="3" t="s">
        <v>35</v>
      </c>
      <c r="E295" s="7"/>
      <c r="F295" s="8"/>
      <c r="G295" s="7">
        <v>50</v>
      </c>
      <c r="H295" s="7">
        <v>96</v>
      </c>
      <c r="I295" s="7"/>
      <c r="J295" s="7"/>
      <c r="K295" s="7"/>
      <c r="L295" s="7"/>
      <c r="M295" s="7"/>
      <c r="N295" s="6"/>
    </row>
    <row r="296" spans="1:14" x14ac:dyDescent="0.2">
      <c r="A296" s="2">
        <v>999992</v>
      </c>
      <c r="B296" s="2" t="s">
        <v>34</v>
      </c>
      <c r="C296" s="2" t="str">
        <f t="shared" si="4"/>
        <v>999992z</v>
      </c>
      <c r="D296" s="3" t="s">
        <v>33</v>
      </c>
      <c r="G296" s="2">
        <v>50</v>
      </c>
      <c r="H296" s="2">
        <v>96</v>
      </c>
      <c r="N296" s="1" t="s">
        <v>32</v>
      </c>
    </row>
    <row r="297" spans="1:14" x14ac:dyDescent="0.2">
      <c r="A297" s="2" t="s">
        <v>31</v>
      </c>
      <c r="C297" s="2" t="str">
        <f t="shared" si="4"/>
        <v>PCP</v>
      </c>
      <c r="D297" s="3" t="s">
        <v>30</v>
      </c>
      <c r="E297" s="2">
        <v>300490</v>
      </c>
      <c r="F297" s="3" t="s">
        <v>29</v>
      </c>
      <c r="G297" s="2">
        <v>2</v>
      </c>
      <c r="H297" s="2">
        <v>94</v>
      </c>
      <c r="M297" s="2">
        <v>2118</v>
      </c>
    </row>
    <row r="298" spans="1:14" x14ac:dyDescent="0.2">
      <c r="A298" s="2" t="s">
        <v>28</v>
      </c>
      <c r="C298" s="2" t="str">
        <f t="shared" si="4"/>
        <v>PCP1</v>
      </c>
      <c r="D298" s="3" t="s">
        <v>27</v>
      </c>
      <c r="E298" s="2">
        <v>300961</v>
      </c>
      <c r="F298" s="3" t="s">
        <v>26</v>
      </c>
      <c r="G298" s="2">
        <v>20</v>
      </c>
      <c r="H298" s="2">
        <v>96.8</v>
      </c>
      <c r="M298" s="2">
        <v>2118</v>
      </c>
      <c r="N298" s="1" t="s">
        <v>25</v>
      </c>
    </row>
    <row r="299" spans="1:14" x14ac:dyDescent="0.2">
      <c r="A299" s="2">
        <v>999992</v>
      </c>
      <c r="B299" s="2" t="s">
        <v>2</v>
      </c>
      <c r="C299" s="2" t="str">
        <f t="shared" si="4"/>
        <v>999992a</v>
      </c>
      <c r="D299" s="3" t="s">
        <v>24</v>
      </c>
      <c r="G299" s="2">
        <v>1</v>
      </c>
      <c r="H299" s="2">
        <v>96</v>
      </c>
    </row>
    <row r="300" spans="1:14" x14ac:dyDescent="0.2">
      <c r="A300" s="2">
        <v>999999</v>
      </c>
      <c r="B300" s="2">
        <v>1</v>
      </c>
      <c r="C300" s="2" t="str">
        <f t="shared" si="4"/>
        <v>9999991</v>
      </c>
      <c r="D300" s="3" t="s">
        <v>23</v>
      </c>
      <c r="G300" s="2">
        <v>50</v>
      </c>
      <c r="H300" s="2">
        <v>96</v>
      </c>
    </row>
    <row r="301" spans="1:14" x14ac:dyDescent="0.2">
      <c r="A301" s="2">
        <v>999991</v>
      </c>
      <c r="C301" s="2" t="str">
        <f t="shared" si="4"/>
        <v>999991</v>
      </c>
      <c r="D301" s="3" t="s">
        <v>22</v>
      </c>
      <c r="G301" s="2">
        <v>50</v>
      </c>
      <c r="H301" s="2">
        <v>96</v>
      </c>
    </row>
    <row r="302" spans="1:14" x14ac:dyDescent="0.2">
      <c r="A302" s="2">
        <v>999993</v>
      </c>
      <c r="C302" s="2" t="str">
        <f t="shared" si="4"/>
        <v>999993</v>
      </c>
      <c r="D302" s="3" t="s">
        <v>21</v>
      </c>
      <c r="G302" s="2">
        <v>50</v>
      </c>
      <c r="H302" s="2">
        <v>96</v>
      </c>
    </row>
    <row r="303" spans="1:14" x14ac:dyDescent="0.2">
      <c r="A303" s="2">
        <v>999994</v>
      </c>
      <c r="C303" s="2" t="str">
        <f t="shared" si="4"/>
        <v>999994</v>
      </c>
      <c r="D303" s="3" t="s">
        <v>20</v>
      </c>
      <c r="G303" s="2">
        <v>50</v>
      </c>
      <c r="H303" s="2">
        <v>96</v>
      </c>
    </row>
    <row r="304" spans="1:14" x14ac:dyDescent="0.2">
      <c r="A304" s="2">
        <v>999995</v>
      </c>
      <c r="C304" s="2" t="str">
        <f t="shared" si="4"/>
        <v>999995</v>
      </c>
      <c r="D304" s="3" t="s">
        <v>19</v>
      </c>
      <c r="G304" s="2">
        <v>50</v>
      </c>
      <c r="H304" s="2">
        <v>96</v>
      </c>
      <c r="N304" s="1" t="s">
        <v>18</v>
      </c>
    </row>
    <row r="305" spans="1:14" x14ac:dyDescent="0.2">
      <c r="A305" s="2">
        <v>999996</v>
      </c>
      <c r="C305" s="2" t="str">
        <f t="shared" si="4"/>
        <v>999996</v>
      </c>
      <c r="D305" s="3" t="s">
        <v>17</v>
      </c>
      <c r="G305" s="2">
        <v>50</v>
      </c>
      <c r="H305" s="2">
        <v>96</v>
      </c>
      <c r="N305" s="1" t="s">
        <v>16</v>
      </c>
    </row>
    <row r="306" spans="1:14" x14ac:dyDescent="0.2">
      <c r="A306" s="2">
        <v>999997</v>
      </c>
      <c r="B306" s="2" t="s">
        <v>2</v>
      </c>
      <c r="C306" s="2" t="str">
        <f t="shared" si="4"/>
        <v>999997a</v>
      </c>
      <c r="D306" s="3" t="s">
        <v>15</v>
      </c>
      <c r="G306" s="2">
        <v>50</v>
      </c>
      <c r="H306" s="2">
        <v>96</v>
      </c>
      <c r="N306" s="1" t="s">
        <v>14</v>
      </c>
    </row>
    <row r="307" spans="1:14" x14ac:dyDescent="0.2">
      <c r="A307" s="2">
        <v>999999</v>
      </c>
      <c r="B307" s="2">
        <v>9</v>
      </c>
      <c r="C307" s="2" t="str">
        <f t="shared" si="4"/>
        <v>9999999</v>
      </c>
      <c r="D307" s="3" t="s">
        <v>13</v>
      </c>
      <c r="G307" s="2">
        <v>50</v>
      </c>
      <c r="H307" s="2">
        <v>96</v>
      </c>
    </row>
    <row r="308" spans="1:14" x14ac:dyDescent="0.2">
      <c r="A308" s="2">
        <v>999998</v>
      </c>
      <c r="B308" s="2" t="s">
        <v>2</v>
      </c>
      <c r="C308" s="2" t="str">
        <f t="shared" si="4"/>
        <v>999998a</v>
      </c>
      <c r="D308" s="3" t="s">
        <v>12</v>
      </c>
      <c r="G308" s="2">
        <v>50</v>
      </c>
      <c r="H308" s="2">
        <v>96</v>
      </c>
    </row>
    <row r="309" spans="1:14" x14ac:dyDescent="0.2">
      <c r="A309" s="2">
        <v>999999</v>
      </c>
      <c r="C309" s="2" t="str">
        <f t="shared" si="4"/>
        <v>999999</v>
      </c>
      <c r="D309" s="3" t="s">
        <v>11</v>
      </c>
      <c r="G309" s="2">
        <v>50</v>
      </c>
      <c r="H309" s="2">
        <v>96</v>
      </c>
    </row>
    <row r="310" spans="1:14" x14ac:dyDescent="0.2">
      <c r="A310" s="2">
        <v>999999</v>
      </c>
      <c r="B310" s="2" t="s">
        <v>10</v>
      </c>
      <c r="C310" s="2" t="str">
        <f t="shared" si="4"/>
        <v>999999b</v>
      </c>
      <c r="D310" s="3" t="s">
        <v>9</v>
      </c>
      <c r="G310" s="2">
        <v>50</v>
      </c>
      <c r="H310" s="2">
        <v>96</v>
      </c>
    </row>
    <row r="311" spans="1:14" x14ac:dyDescent="0.2">
      <c r="A311" s="2">
        <v>999999</v>
      </c>
      <c r="B311" s="2" t="s">
        <v>8</v>
      </c>
      <c r="C311" s="2" t="str">
        <f t="shared" si="4"/>
        <v>999999c</v>
      </c>
      <c r="D311" s="3" t="s">
        <v>7</v>
      </c>
      <c r="G311" s="2">
        <v>50</v>
      </c>
      <c r="H311" s="2">
        <v>96</v>
      </c>
    </row>
    <row r="312" spans="1:14" x14ac:dyDescent="0.2">
      <c r="A312" s="2">
        <v>999999</v>
      </c>
      <c r="B312" s="2" t="s">
        <v>6</v>
      </c>
      <c r="C312" s="2" t="str">
        <f t="shared" si="4"/>
        <v>999999d</v>
      </c>
      <c r="D312" s="3" t="s">
        <v>5</v>
      </c>
      <c r="G312" s="2">
        <v>50</v>
      </c>
      <c r="H312" s="2">
        <v>96</v>
      </c>
    </row>
    <row r="313" spans="1:14" x14ac:dyDescent="0.2">
      <c r="A313" s="2">
        <v>999999</v>
      </c>
      <c r="B313" s="2" t="s">
        <v>4</v>
      </c>
      <c r="C313" s="2" t="str">
        <f t="shared" si="4"/>
        <v>999999e</v>
      </c>
      <c r="D313" s="3" t="s">
        <v>3</v>
      </c>
      <c r="G313" s="2">
        <v>50</v>
      </c>
      <c r="H313" s="2">
        <v>96</v>
      </c>
    </row>
    <row r="314" spans="1:14" x14ac:dyDescent="0.2">
      <c r="A314" s="2">
        <v>999991</v>
      </c>
      <c r="B314" s="2" t="s">
        <v>2</v>
      </c>
      <c r="C314" s="2" t="str">
        <f t="shared" si="4"/>
        <v>999991a</v>
      </c>
      <c r="D314" s="3" t="s">
        <v>1</v>
      </c>
      <c r="G314" s="2">
        <v>50</v>
      </c>
      <c r="H314" s="2">
        <v>96</v>
      </c>
    </row>
    <row r="317" spans="1:14" x14ac:dyDescent="0.2">
      <c r="A317" s="3"/>
      <c r="B317" s="3"/>
      <c r="C317"/>
      <c r="D317"/>
      <c r="M317" s="3"/>
      <c r="N317" s="3"/>
    </row>
    <row r="318" spans="1:14" x14ac:dyDescent="0.2">
      <c r="A318" s="3"/>
      <c r="B318" s="3"/>
      <c r="C318"/>
      <c r="D318"/>
      <c r="M318" s="3"/>
      <c r="N318" s="3"/>
    </row>
    <row r="319" spans="1:14" x14ac:dyDescent="0.2">
      <c r="A319" s="3"/>
      <c r="B319" s="3"/>
      <c r="C319"/>
      <c r="D319"/>
      <c r="M319" s="3"/>
      <c r="N319" s="3"/>
    </row>
    <row r="320" spans="1:14" x14ac:dyDescent="0.2">
      <c r="A320" s="3"/>
      <c r="B320" s="3"/>
      <c r="C320"/>
      <c r="D320"/>
      <c r="M320" s="3"/>
      <c r="N320" s="3"/>
    </row>
    <row r="321" spans="1:14" x14ac:dyDescent="0.2">
      <c r="A321" s="3"/>
      <c r="B321" s="3"/>
      <c r="C321"/>
      <c r="D321"/>
      <c r="M321" s="3"/>
      <c r="N321" s="3"/>
    </row>
    <row r="322" spans="1:14" x14ac:dyDescent="0.2">
      <c r="A322" s="3"/>
      <c r="B322" s="3"/>
      <c r="C322"/>
      <c r="D322"/>
      <c r="M322" s="3"/>
      <c r="N322" s="3"/>
    </row>
    <row r="323" spans="1:14" x14ac:dyDescent="0.2">
      <c r="A323" s="3"/>
      <c r="B323" s="3"/>
      <c r="C323"/>
      <c r="D323"/>
      <c r="M323" s="3"/>
      <c r="N323" s="3"/>
    </row>
    <row r="324" spans="1:14" x14ac:dyDescent="0.2">
      <c r="A324" s="3"/>
      <c r="B324" s="3"/>
      <c r="C324"/>
      <c r="D324"/>
      <c r="M324" s="3"/>
      <c r="N324" s="3"/>
    </row>
    <row r="325" spans="1:14" x14ac:dyDescent="0.2">
      <c r="A325" s="3"/>
      <c r="B325" s="3"/>
      <c r="C325"/>
      <c r="D325"/>
      <c r="M325" s="3"/>
      <c r="N325" s="3"/>
    </row>
    <row r="326" spans="1:14" x14ac:dyDescent="0.2">
      <c r="A326" s="3"/>
      <c r="B326" s="3"/>
      <c r="C326"/>
      <c r="D326"/>
      <c r="M326" s="3"/>
      <c r="N326" s="3"/>
    </row>
    <row r="327" spans="1:14" x14ac:dyDescent="0.2">
      <c r="A327" s="3"/>
      <c r="B327" s="3"/>
      <c r="C327"/>
      <c r="D327"/>
      <c r="M327" s="3"/>
      <c r="N327" s="3"/>
    </row>
    <row r="328" spans="1:14" x14ac:dyDescent="0.2">
      <c r="A328" s="3"/>
      <c r="B328" s="3"/>
      <c r="C328"/>
      <c r="D328"/>
      <c r="M328" s="3"/>
      <c r="N328" s="3"/>
    </row>
    <row r="329" spans="1:14" x14ac:dyDescent="0.2">
      <c r="A329" s="3"/>
      <c r="B329" s="3"/>
      <c r="C329"/>
      <c r="D329"/>
      <c r="M329" s="3"/>
      <c r="N329" s="3"/>
    </row>
    <row r="330" spans="1:14" x14ac:dyDescent="0.2">
      <c r="A330" s="3"/>
      <c r="B330" s="3"/>
      <c r="C330"/>
      <c r="D330"/>
      <c r="G330" s="2" t="s">
        <v>0</v>
      </c>
      <c r="M330" s="3"/>
      <c r="N330" s="3"/>
    </row>
    <row r="331" spans="1:14" x14ac:dyDescent="0.2">
      <c r="B331" s="3"/>
      <c r="C331"/>
      <c r="D331"/>
      <c r="M331" s="3"/>
      <c r="N331" s="3"/>
    </row>
    <row r="332" spans="1:14" x14ac:dyDescent="0.2">
      <c r="C332"/>
      <c r="D332"/>
    </row>
  </sheetData>
  <autoFilter ref="A1:N294" xr:uid="{71FAE9BA-CFB6-4510-AF5E-F7F2DFA55998}"/>
  <conditionalFormatting sqref="C25:C26">
    <cfRule type="duplicateValues" dxfId="20" priority="9"/>
    <cfRule type="duplicateValues" dxfId="19" priority="10"/>
    <cfRule type="duplicateValues" dxfId="18" priority="11"/>
    <cfRule type="duplicateValues" dxfId="17" priority="12"/>
  </conditionalFormatting>
  <conditionalFormatting sqref="C100">
    <cfRule type="duplicateValues" dxfId="16" priority="15"/>
  </conditionalFormatting>
  <conditionalFormatting sqref="C123">
    <cfRule type="duplicateValues" dxfId="15" priority="17"/>
  </conditionalFormatting>
  <conditionalFormatting sqref="C126:C129">
    <cfRule type="duplicateValues" dxfId="14" priority="14"/>
  </conditionalFormatting>
  <conditionalFormatting sqref="C135:C136">
    <cfRule type="duplicateValues" dxfId="13" priority="1"/>
    <cfRule type="duplicateValues" dxfId="12" priority="2"/>
    <cfRule type="duplicateValues" dxfId="11" priority="3"/>
    <cfRule type="duplicateValues" dxfId="10" priority="4"/>
  </conditionalFormatting>
  <conditionalFormatting sqref="C137:C1048576 C2:C134">
    <cfRule type="duplicateValues" dxfId="9" priority="5"/>
  </conditionalFormatting>
  <conditionalFormatting sqref="C153">
    <cfRule type="duplicateValues" dxfId="8" priority="13"/>
  </conditionalFormatting>
  <conditionalFormatting sqref="C232">
    <cfRule type="duplicateValues" dxfId="7" priority="8"/>
  </conditionalFormatting>
  <conditionalFormatting sqref="C236 C201:C212">
    <cfRule type="duplicateValues" dxfId="6" priority="20"/>
  </conditionalFormatting>
  <conditionalFormatting sqref="C278">
    <cfRule type="duplicateValues" dxfId="5" priority="19"/>
  </conditionalFormatting>
  <conditionalFormatting sqref="C280:C281">
    <cfRule type="duplicateValues" dxfId="4" priority="18"/>
  </conditionalFormatting>
  <conditionalFormatting sqref="C285:C288">
    <cfRule type="duplicateValues" dxfId="3" priority="7"/>
  </conditionalFormatting>
  <conditionalFormatting sqref="C290">
    <cfRule type="duplicateValues" dxfId="2" priority="16"/>
  </conditionalFormatting>
  <conditionalFormatting sqref="C333:C1048576 C2:C134 C137:C316">
    <cfRule type="duplicateValues" dxfId="1" priority="6"/>
  </conditionalFormatting>
  <conditionalFormatting sqref="C333:C1048576 C137:C231 C2:C134 C233:C316">
    <cfRule type="duplicateValues" dxfId="0" priority="2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D1ACF5D76EB47A363C2D069828AFD" ma:contentTypeVersion="17" ma:contentTypeDescription="Create a new document." ma:contentTypeScope="" ma:versionID="d53408742a56c313c8065a4336e0af45">
  <xsd:schema xmlns:xsd="http://www.w3.org/2001/XMLSchema" xmlns:xs="http://www.w3.org/2001/XMLSchema" xmlns:p="http://schemas.microsoft.com/office/2006/metadata/properties" xmlns:ns1="http://schemas.microsoft.com/sharepoint/v3" xmlns:ns2="d201f692-b45e-4262-b057-0f9849766897" xmlns:ns3="5aaed9f0-e3de-4c8f-91ec-ec071d137678" targetNamespace="http://schemas.microsoft.com/office/2006/metadata/properties" ma:root="true" ma:fieldsID="b9fd792e315561ae44bd874603206c68" ns1:_="" ns2:_="" ns3:_="">
    <xsd:import namespace="http://schemas.microsoft.com/sharepoint/v3"/>
    <xsd:import namespace="d201f692-b45e-4262-b057-0f9849766897"/>
    <xsd:import namespace="5aaed9f0-e3de-4c8f-91ec-ec071d1376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01f692-b45e-4262-b057-0f98497668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ca2adeb-83b9-4689-b5c1-c243330c2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ed9f0-e3de-4c8f-91ec-ec071d13767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21ed846-aa15-492a-a7ea-c5d28e7eed87}" ma:internalName="TaxCatchAll" ma:showField="CatchAllData" ma:web="5aaed9f0-e3de-4c8f-91ec-ec071d1376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d201f692-b45e-4262-b057-0f9849766897">
      <Terms xmlns="http://schemas.microsoft.com/office/infopath/2007/PartnerControls"/>
    </lcf76f155ced4ddcb4097134ff3c332f>
    <TaxCatchAll xmlns="5aaed9f0-e3de-4c8f-91ec-ec071d13767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4F2BCE-A875-4B34-AF40-758D4E105C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201f692-b45e-4262-b057-0f9849766897"/>
    <ds:schemaRef ds:uri="5aaed9f0-e3de-4c8f-91ec-ec071d1376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3C6FB0-F31D-4D88-AD3F-56189369864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201f692-b45e-4262-b057-0f9849766897"/>
    <ds:schemaRef ds:uri="5aaed9f0-e3de-4c8f-91ec-ec071d137678"/>
  </ds:schemaRefs>
</ds:datastoreItem>
</file>

<file path=customXml/itemProps3.xml><?xml version="1.0" encoding="utf-8"?>
<ds:datastoreItem xmlns:ds="http://schemas.openxmlformats.org/officeDocument/2006/customXml" ds:itemID="{BFEC8A19-A951-454F-B623-95E65AC6E9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Reporte_Ordenado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Damer Casas</dc:creator>
  <cp:lastModifiedBy>Jhonatan Damer Casas</cp:lastModifiedBy>
  <dcterms:created xsi:type="dcterms:W3CDTF">2026-02-12T22:15:55Z</dcterms:created>
  <dcterms:modified xsi:type="dcterms:W3CDTF">2026-02-12T22:38:52Z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0x010100A1FD1ACF5D76EB47A363C2D069828AFD</vt:lpwstr>
  </property>
  <property fmtid="{D5CDD505-2E9C-101B-9397-08002B2CF9AE}" pid="3" name="MediaServiceImageTags">
    <vt:lpwstr/>
  </property>
</Properties>
</file>